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al\OneDrive\Documentos\UP\Cuatrimestre 8\Desarrollo de Sistemas Biomédicos\Proyecto\"/>
    </mc:Choice>
  </mc:AlternateContent>
  <bookViews>
    <workbookView xWindow="0" yWindow="0" windowWidth="12000" windowHeight="5112"/>
  </bookViews>
  <sheets>
    <sheet name="preeclampsia_bd" sheetId="1" r:id="rId1"/>
  </sheets>
  <calcPr calcId="162913"/>
</workbook>
</file>

<file path=xl/calcChain.xml><?xml version="1.0" encoding="utf-8"?>
<calcChain xmlns="http://schemas.openxmlformats.org/spreadsheetml/2006/main">
  <c r="J27" i="1" l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H400" i="1"/>
  <c r="H401" i="1"/>
  <c r="H32" i="1"/>
  <c r="H33" i="1"/>
  <c r="H34" i="1"/>
  <c r="H35" i="1"/>
  <c r="K35" i="1" s="1"/>
  <c r="H36" i="1"/>
  <c r="K36" i="1" s="1"/>
  <c r="H37" i="1"/>
  <c r="K37" i="1" s="1"/>
  <c r="H38" i="1"/>
  <c r="K38" i="1" s="1"/>
  <c r="H39" i="1"/>
  <c r="H40" i="1"/>
  <c r="H41" i="1"/>
  <c r="H42" i="1"/>
  <c r="H43" i="1"/>
  <c r="K43" i="1" s="1"/>
  <c r="H44" i="1"/>
  <c r="K44" i="1" s="1"/>
  <c r="H45" i="1"/>
  <c r="K45" i="1" s="1"/>
  <c r="H46" i="1"/>
  <c r="K46" i="1" s="1"/>
  <c r="H47" i="1"/>
  <c r="H48" i="1"/>
  <c r="H49" i="1"/>
  <c r="H50" i="1"/>
  <c r="H51" i="1"/>
  <c r="K51" i="1" s="1"/>
  <c r="H52" i="1"/>
  <c r="K52" i="1" s="1"/>
  <c r="H53" i="1"/>
  <c r="K53" i="1" s="1"/>
  <c r="H54" i="1"/>
  <c r="K54" i="1" s="1"/>
  <c r="H55" i="1"/>
  <c r="H56" i="1"/>
  <c r="H57" i="1"/>
  <c r="H58" i="1"/>
  <c r="H59" i="1"/>
  <c r="K59" i="1" s="1"/>
  <c r="H60" i="1"/>
  <c r="K60" i="1" s="1"/>
  <c r="H61" i="1"/>
  <c r="K61" i="1" s="1"/>
  <c r="H62" i="1"/>
  <c r="K62" i="1" s="1"/>
  <c r="H63" i="1"/>
  <c r="H64" i="1"/>
  <c r="H65" i="1"/>
  <c r="H66" i="1"/>
  <c r="H67" i="1"/>
  <c r="K67" i="1" s="1"/>
  <c r="H68" i="1"/>
  <c r="K68" i="1" s="1"/>
  <c r="H69" i="1"/>
  <c r="K69" i="1" s="1"/>
  <c r="H70" i="1"/>
  <c r="K70" i="1" s="1"/>
  <c r="H71" i="1"/>
  <c r="H72" i="1"/>
  <c r="H73" i="1"/>
  <c r="H74" i="1"/>
  <c r="H75" i="1"/>
  <c r="K75" i="1" s="1"/>
  <c r="H76" i="1"/>
  <c r="K76" i="1" s="1"/>
  <c r="H77" i="1"/>
  <c r="K77" i="1" s="1"/>
  <c r="H78" i="1"/>
  <c r="K78" i="1" s="1"/>
  <c r="H79" i="1"/>
  <c r="H80" i="1"/>
  <c r="H81" i="1"/>
  <c r="H82" i="1"/>
  <c r="H83" i="1"/>
  <c r="K83" i="1" s="1"/>
  <c r="H84" i="1"/>
  <c r="K84" i="1" s="1"/>
  <c r="H85" i="1"/>
  <c r="K85" i="1" s="1"/>
  <c r="H86" i="1"/>
  <c r="K86" i="1" s="1"/>
  <c r="H87" i="1"/>
  <c r="H88" i="1"/>
  <c r="H89" i="1"/>
  <c r="H90" i="1"/>
  <c r="H91" i="1"/>
  <c r="K91" i="1" s="1"/>
  <c r="H92" i="1"/>
  <c r="K92" i="1" s="1"/>
  <c r="H93" i="1"/>
  <c r="K93" i="1" s="1"/>
  <c r="H94" i="1"/>
  <c r="K94" i="1" s="1"/>
  <c r="H95" i="1"/>
  <c r="H96" i="1"/>
  <c r="H97" i="1"/>
  <c r="H98" i="1"/>
  <c r="H99" i="1"/>
  <c r="K99" i="1" s="1"/>
  <c r="H100" i="1"/>
  <c r="K100" i="1" s="1"/>
  <c r="H101" i="1"/>
  <c r="K101" i="1" s="1"/>
  <c r="H102" i="1"/>
  <c r="K102" i="1" s="1"/>
  <c r="H103" i="1"/>
  <c r="H104" i="1"/>
  <c r="H105" i="1"/>
  <c r="H106" i="1"/>
  <c r="H107" i="1"/>
  <c r="K107" i="1" s="1"/>
  <c r="H108" i="1"/>
  <c r="K108" i="1" s="1"/>
  <c r="H109" i="1"/>
  <c r="K109" i="1" s="1"/>
  <c r="H110" i="1"/>
  <c r="K110" i="1" s="1"/>
  <c r="H111" i="1"/>
  <c r="H112" i="1"/>
  <c r="H113" i="1"/>
  <c r="H114" i="1"/>
  <c r="H115" i="1"/>
  <c r="K115" i="1" s="1"/>
  <c r="H116" i="1"/>
  <c r="K116" i="1" s="1"/>
  <c r="H117" i="1"/>
  <c r="K117" i="1" s="1"/>
  <c r="H118" i="1"/>
  <c r="K118" i="1" s="1"/>
  <c r="H119" i="1"/>
  <c r="H120" i="1"/>
  <c r="H121" i="1"/>
  <c r="H122" i="1"/>
  <c r="H123" i="1"/>
  <c r="K123" i="1" s="1"/>
  <c r="H124" i="1"/>
  <c r="K124" i="1" s="1"/>
  <c r="H125" i="1"/>
  <c r="K125" i="1" s="1"/>
  <c r="H126" i="1"/>
  <c r="K126" i="1" s="1"/>
  <c r="H127" i="1"/>
  <c r="H128" i="1"/>
  <c r="H129" i="1"/>
  <c r="H130" i="1"/>
  <c r="H131" i="1"/>
  <c r="K131" i="1" s="1"/>
  <c r="H132" i="1"/>
  <c r="K132" i="1" s="1"/>
  <c r="H133" i="1"/>
  <c r="K133" i="1" s="1"/>
  <c r="H134" i="1"/>
  <c r="K134" i="1" s="1"/>
  <c r="H135" i="1"/>
  <c r="H136" i="1"/>
  <c r="H137" i="1"/>
  <c r="H138" i="1"/>
  <c r="H139" i="1"/>
  <c r="K139" i="1" s="1"/>
  <c r="H140" i="1"/>
  <c r="K140" i="1" s="1"/>
  <c r="H141" i="1"/>
  <c r="K141" i="1" s="1"/>
  <c r="H142" i="1"/>
  <c r="K142" i="1" s="1"/>
  <c r="H143" i="1"/>
  <c r="H144" i="1"/>
  <c r="H145" i="1"/>
  <c r="H146" i="1"/>
  <c r="H147" i="1"/>
  <c r="K147" i="1" s="1"/>
  <c r="H148" i="1"/>
  <c r="K148" i="1" s="1"/>
  <c r="H149" i="1"/>
  <c r="K149" i="1" s="1"/>
  <c r="H150" i="1"/>
  <c r="K150" i="1" s="1"/>
  <c r="H151" i="1"/>
  <c r="H152" i="1"/>
  <c r="H153" i="1"/>
  <c r="H154" i="1"/>
  <c r="H155" i="1"/>
  <c r="K155" i="1" s="1"/>
  <c r="H156" i="1"/>
  <c r="K156" i="1" s="1"/>
  <c r="H157" i="1"/>
  <c r="K157" i="1" s="1"/>
  <c r="H158" i="1"/>
  <c r="K158" i="1" s="1"/>
  <c r="H159" i="1"/>
  <c r="H160" i="1"/>
  <c r="H161" i="1"/>
  <c r="H162" i="1"/>
  <c r="H163" i="1"/>
  <c r="K163" i="1" s="1"/>
  <c r="H164" i="1"/>
  <c r="K164" i="1" s="1"/>
  <c r="H165" i="1"/>
  <c r="K165" i="1" s="1"/>
  <c r="H166" i="1"/>
  <c r="K166" i="1" s="1"/>
  <c r="H167" i="1"/>
  <c r="H168" i="1"/>
  <c r="H169" i="1"/>
  <c r="H170" i="1"/>
  <c r="H171" i="1"/>
  <c r="K171" i="1" s="1"/>
  <c r="H172" i="1"/>
  <c r="K172" i="1" s="1"/>
  <c r="H173" i="1"/>
  <c r="K173" i="1" s="1"/>
  <c r="H174" i="1"/>
  <c r="K174" i="1" s="1"/>
  <c r="H175" i="1"/>
  <c r="H176" i="1"/>
  <c r="H177" i="1"/>
  <c r="H178" i="1"/>
  <c r="H179" i="1"/>
  <c r="K179" i="1" s="1"/>
  <c r="H180" i="1"/>
  <c r="K180" i="1" s="1"/>
  <c r="H181" i="1"/>
  <c r="K181" i="1" s="1"/>
  <c r="H182" i="1"/>
  <c r="K182" i="1" s="1"/>
  <c r="H183" i="1"/>
  <c r="H184" i="1"/>
  <c r="H185" i="1"/>
  <c r="H186" i="1"/>
  <c r="H187" i="1"/>
  <c r="K187" i="1" s="1"/>
  <c r="H188" i="1"/>
  <c r="K188" i="1" s="1"/>
  <c r="H189" i="1"/>
  <c r="K189" i="1" s="1"/>
  <c r="H190" i="1"/>
  <c r="K190" i="1" s="1"/>
  <c r="H191" i="1"/>
  <c r="H192" i="1"/>
  <c r="H193" i="1"/>
  <c r="H194" i="1"/>
  <c r="H195" i="1"/>
  <c r="K195" i="1" s="1"/>
  <c r="H196" i="1"/>
  <c r="K196" i="1" s="1"/>
  <c r="H197" i="1"/>
  <c r="K197" i="1" s="1"/>
  <c r="H198" i="1"/>
  <c r="K198" i="1" s="1"/>
  <c r="H199" i="1"/>
  <c r="H200" i="1"/>
  <c r="H201" i="1"/>
  <c r="H202" i="1"/>
  <c r="H203" i="1"/>
  <c r="K203" i="1" s="1"/>
  <c r="H204" i="1"/>
  <c r="K204" i="1" s="1"/>
  <c r="H205" i="1"/>
  <c r="K205" i="1" s="1"/>
  <c r="H206" i="1"/>
  <c r="K206" i="1" s="1"/>
  <c r="H207" i="1"/>
  <c r="H208" i="1"/>
  <c r="H209" i="1"/>
  <c r="H210" i="1"/>
  <c r="H211" i="1"/>
  <c r="K211" i="1" s="1"/>
  <c r="H212" i="1"/>
  <c r="K212" i="1" s="1"/>
  <c r="H213" i="1"/>
  <c r="K213" i="1" s="1"/>
  <c r="H214" i="1"/>
  <c r="K214" i="1" s="1"/>
  <c r="H215" i="1"/>
  <c r="H216" i="1"/>
  <c r="H217" i="1"/>
  <c r="H218" i="1"/>
  <c r="H219" i="1"/>
  <c r="K219" i="1" s="1"/>
  <c r="H220" i="1"/>
  <c r="K220" i="1" s="1"/>
  <c r="H221" i="1"/>
  <c r="K221" i="1" s="1"/>
  <c r="H222" i="1"/>
  <c r="K222" i="1" s="1"/>
  <c r="H223" i="1"/>
  <c r="H224" i="1"/>
  <c r="H225" i="1"/>
  <c r="H226" i="1"/>
  <c r="H227" i="1"/>
  <c r="K227" i="1" s="1"/>
  <c r="H228" i="1"/>
  <c r="K228" i="1" s="1"/>
  <c r="H229" i="1"/>
  <c r="K229" i="1" s="1"/>
  <c r="H230" i="1"/>
  <c r="K230" i="1" s="1"/>
  <c r="H231" i="1"/>
  <c r="H232" i="1"/>
  <c r="H233" i="1"/>
  <c r="H234" i="1"/>
  <c r="H235" i="1"/>
  <c r="K235" i="1" s="1"/>
  <c r="H236" i="1"/>
  <c r="K236" i="1" s="1"/>
  <c r="H237" i="1"/>
  <c r="K237" i="1" s="1"/>
  <c r="H238" i="1"/>
  <c r="K238" i="1" s="1"/>
  <c r="H239" i="1"/>
  <c r="H240" i="1"/>
  <c r="H241" i="1"/>
  <c r="H242" i="1"/>
  <c r="H243" i="1"/>
  <c r="K243" i="1" s="1"/>
  <c r="H244" i="1"/>
  <c r="K244" i="1" s="1"/>
  <c r="H245" i="1"/>
  <c r="K245" i="1" s="1"/>
  <c r="H246" i="1"/>
  <c r="K246" i="1" s="1"/>
  <c r="H247" i="1"/>
  <c r="H248" i="1"/>
  <c r="H249" i="1"/>
  <c r="H250" i="1"/>
  <c r="H251" i="1"/>
  <c r="K251" i="1" s="1"/>
  <c r="H252" i="1"/>
  <c r="K252" i="1" s="1"/>
  <c r="H253" i="1"/>
  <c r="K253" i="1" s="1"/>
  <c r="H254" i="1"/>
  <c r="K254" i="1" s="1"/>
  <c r="H255" i="1"/>
  <c r="H256" i="1"/>
  <c r="H257" i="1"/>
  <c r="H258" i="1"/>
  <c r="H259" i="1"/>
  <c r="K259" i="1" s="1"/>
  <c r="H260" i="1"/>
  <c r="K260" i="1" s="1"/>
  <c r="H261" i="1"/>
  <c r="K261" i="1" s="1"/>
  <c r="H262" i="1"/>
  <c r="K262" i="1" s="1"/>
  <c r="H263" i="1"/>
  <c r="H264" i="1"/>
  <c r="H265" i="1"/>
  <c r="H266" i="1"/>
  <c r="H267" i="1"/>
  <c r="K267" i="1" s="1"/>
  <c r="H268" i="1"/>
  <c r="K268" i="1" s="1"/>
  <c r="H269" i="1"/>
  <c r="K269" i="1" s="1"/>
  <c r="H270" i="1"/>
  <c r="K270" i="1" s="1"/>
  <c r="H271" i="1"/>
  <c r="H272" i="1"/>
  <c r="H273" i="1"/>
  <c r="H274" i="1"/>
  <c r="H275" i="1"/>
  <c r="K275" i="1" s="1"/>
  <c r="H276" i="1"/>
  <c r="K276" i="1" s="1"/>
  <c r="H277" i="1"/>
  <c r="K277" i="1" s="1"/>
  <c r="H278" i="1"/>
  <c r="K278" i="1" s="1"/>
  <c r="H279" i="1"/>
  <c r="H280" i="1"/>
  <c r="H281" i="1"/>
  <c r="H282" i="1"/>
  <c r="H283" i="1"/>
  <c r="K283" i="1" s="1"/>
  <c r="H284" i="1"/>
  <c r="K284" i="1" s="1"/>
  <c r="H285" i="1"/>
  <c r="K285" i="1" s="1"/>
  <c r="H286" i="1"/>
  <c r="K286" i="1" s="1"/>
  <c r="H287" i="1"/>
  <c r="H288" i="1"/>
  <c r="H289" i="1"/>
  <c r="H290" i="1"/>
  <c r="H291" i="1"/>
  <c r="K291" i="1" s="1"/>
  <c r="H292" i="1"/>
  <c r="K292" i="1" s="1"/>
  <c r="H293" i="1"/>
  <c r="K293" i="1" s="1"/>
  <c r="H294" i="1"/>
  <c r="K294" i="1" s="1"/>
  <c r="H295" i="1"/>
  <c r="H296" i="1"/>
  <c r="H297" i="1"/>
  <c r="H298" i="1"/>
  <c r="H299" i="1"/>
  <c r="K299" i="1" s="1"/>
  <c r="H300" i="1"/>
  <c r="K300" i="1" s="1"/>
  <c r="H301" i="1"/>
  <c r="K301" i="1" s="1"/>
  <c r="H302" i="1"/>
  <c r="K302" i="1" s="1"/>
  <c r="H303" i="1"/>
  <c r="H304" i="1"/>
  <c r="H305" i="1"/>
  <c r="H306" i="1"/>
  <c r="H307" i="1"/>
  <c r="K307" i="1" s="1"/>
  <c r="H308" i="1"/>
  <c r="K308" i="1" s="1"/>
  <c r="H309" i="1"/>
  <c r="K309" i="1" s="1"/>
  <c r="H310" i="1"/>
  <c r="K310" i="1" s="1"/>
  <c r="H311" i="1"/>
  <c r="H312" i="1"/>
  <c r="H313" i="1"/>
  <c r="H314" i="1"/>
  <c r="H315" i="1"/>
  <c r="K315" i="1" s="1"/>
  <c r="H316" i="1"/>
  <c r="K316" i="1" s="1"/>
  <c r="H317" i="1"/>
  <c r="K317" i="1" s="1"/>
  <c r="H318" i="1"/>
  <c r="K318" i="1" s="1"/>
  <c r="H319" i="1"/>
  <c r="H320" i="1"/>
  <c r="H321" i="1"/>
  <c r="H322" i="1"/>
  <c r="H323" i="1"/>
  <c r="K323" i="1" s="1"/>
  <c r="H324" i="1"/>
  <c r="K324" i="1" s="1"/>
  <c r="H325" i="1"/>
  <c r="K325" i="1" s="1"/>
  <c r="H326" i="1"/>
  <c r="K326" i="1" s="1"/>
  <c r="H327" i="1"/>
  <c r="H328" i="1"/>
  <c r="H329" i="1"/>
  <c r="H330" i="1"/>
  <c r="H331" i="1"/>
  <c r="K331" i="1" s="1"/>
  <c r="H332" i="1"/>
  <c r="K332" i="1" s="1"/>
  <c r="H333" i="1"/>
  <c r="K333" i="1" s="1"/>
  <c r="H334" i="1"/>
  <c r="K334" i="1" s="1"/>
  <c r="H335" i="1"/>
  <c r="H336" i="1"/>
  <c r="H337" i="1"/>
  <c r="H338" i="1"/>
  <c r="H339" i="1"/>
  <c r="K339" i="1" s="1"/>
  <c r="H340" i="1"/>
  <c r="K340" i="1" s="1"/>
  <c r="H341" i="1"/>
  <c r="K341" i="1" s="1"/>
  <c r="H342" i="1"/>
  <c r="K342" i="1" s="1"/>
  <c r="H343" i="1"/>
  <c r="H344" i="1"/>
  <c r="H345" i="1"/>
  <c r="H346" i="1"/>
  <c r="H347" i="1"/>
  <c r="K347" i="1" s="1"/>
  <c r="H348" i="1"/>
  <c r="K348" i="1" s="1"/>
  <c r="H349" i="1"/>
  <c r="K349" i="1" s="1"/>
  <c r="H350" i="1"/>
  <c r="K350" i="1" s="1"/>
  <c r="H351" i="1"/>
  <c r="H352" i="1"/>
  <c r="H353" i="1"/>
  <c r="H354" i="1"/>
  <c r="H355" i="1"/>
  <c r="K355" i="1" s="1"/>
  <c r="H356" i="1"/>
  <c r="K356" i="1" s="1"/>
  <c r="H357" i="1"/>
  <c r="K357" i="1" s="1"/>
  <c r="H358" i="1"/>
  <c r="K358" i="1" s="1"/>
  <c r="H359" i="1"/>
  <c r="H360" i="1"/>
  <c r="H361" i="1"/>
  <c r="H362" i="1"/>
  <c r="H363" i="1"/>
  <c r="K363" i="1" s="1"/>
  <c r="H364" i="1"/>
  <c r="K364" i="1" s="1"/>
  <c r="H365" i="1"/>
  <c r="K365" i="1" s="1"/>
  <c r="H366" i="1"/>
  <c r="K366" i="1" s="1"/>
  <c r="H367" i="1"/>
  <c r="H368" i="1"/>
  <c r="H369" i="1"/>
  <c r="H370" i="1"/>
  <c r="H371" i="1"/>
  <c r="K371" i="1" s="1"/>
  <c r="H372" i="1"/>
  <c r="K372" i="1" s="1"/>
  <c r="H373" i="1"/>
  <c r="K373" i="1" s="1"/>
  <c r="H374" i="1"/>
  <c r="K374" i="1" s="1"/>
  <c r="H375" i="1"/>
  <c r="H376" i="1"/>
  <c r="H377" i="1"/>
  <c r="H378" i="1"/>
  <c r="H379" i="1"/>
  <c r="K379" i="1" s="1"/>
  <c r="H380" i="1"/>
  <c r="K380" i="1" s="1"/>
  <c r="H381" i="1"/>
  <c r="K381" i="1" s="1"/>
  <c r="H382" i="1"/>
  <c r="K382" i="1" s="1"/>
  <c r="H383" i="1"/>
  <c r="H384" i="1"/>
  <c r="H385" i="1"/>
  <c r="H386" i="1"/>
  <c r="H387" i="1"/>
  <c r="K387" i="1" s="1"/>
  <c r="H388" i="1"/>
  <c r="K388" i="1" s="1"/>
  <c r="H389" i="1"/>
  <c r="K389" i="1" s="1"/>
  <c r="H390" i="1"/>
  <c r="K390" i="1" s="1"/>
  <c r="H391" i="1"/>
  <c r="H392" i="1"/>
  <c r="H393" i="1"/>
  <c r="H394" i="1"/>
  <c r="H395" i="1"/>
  <c r="K395" i="1" s="1"/>
  <c r="H396" i="1"/>
  <c r="K396" i="1" s="1"/>
  <c r="H397" i="1"/>
  <c r="K397" i="1" s="1"/>
  <c r="H398" i="1"/>
  <c r="K398" i="1" s="1"/>
  <c r="H39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2" i="1"/>
  <c r="K2" i="1" s="1"/>
  <c r="H9" i="1"/>
  <c r="J2" i="1"/>
  <c r="I14" i="1"/>
  <c r="I15" i="1"/>
  <c r="I16" i="1"/>
  <c r="I8" i="1"/>
  <c r="I9" i="1"/>
  <c r="I10" i="1"/>
  <c r="I11" i="1"/>
  <c r="I12" i="1"/>
  <c r="I13" i="1"/>
  <c r="I3" i="1"/>
  <c r="I4" i="1"/>
  <c r="I5" i="1"/>
  <c r="I6" i="1"/>
  <c r="I7" i="1"/>
  <c r="H16" i="1"/>
  <c r="H17" i="1"/>
  <c r="H18" i="1"/>
  <c r="K18" i="1" s="1"/>
  <c r="H19" i="1"/>
  <c r="K19" i="1" s="1"/>
  <c r="H20" i="1"/>
  <c r="K20" i="1" s="1"/>
  <c r="H21" i="1"/>
  <c r="K21" i="1" s="1"/>
  <c r="H22" i="1"/>
  <c r="H23" i="1"/>
  <c r="H24" i="1"/>
  <c r="H25" i="1"/>
  <c r="H26" i="1"/>
  <c r="K26" i="1" s="1"/>
  <c r="H27" i="1"/>
  <c r="K27" i="1" s="1"/>
  <c r="H28" i="1"/>
  <c r="K28" i="1" s="1"/>
  <c r="H29" i="1"/>
  <c r="K29" i="1" s="1"/>
  <c r="H30" i="1"/>
  <c r="K30" i="1" s="1"/>
  <c r="H31" i="1"/>
  <c r="H3" i="1"/>
  <c r="H4" i="1"/>
  <c r="H5" i="1"/>
  <c r="K5" i="1" s="1"/>
  <c r="H6" i="1"/>
  <c r="K6" i="1" s="1"/>
  <c r="H7" i="1"/>
  <c r="K7" i="1" s="1"/>
  <c r="H8" i="1"/>
  <c r="H10" i="1"/>
  <c r="K10" i="1" s="1"/>
  <c r="H11" i="1"/>
  <c r="K11" i="1" s="1"/>
  <c r="H12" i="1"/>
  <c r="K12" i="1" s="1"/>
  <c r="H13" i="1"/>
  <c r="H14" i="1"/>
  <c r="K14" i="1" s="1"/>
  <c r="H15" i="1"/>
  <c r="K15" i="1" s="1"/>
  <c r="K13" i="1" l="1"/>
  <c r="K4" i="1"/>
  <c r="K25" i="1"/>
  <c r="K17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3" i="1"/>
  <c r="K24" i="1"/>
  <c r="K16" i="1"/>
  <c r="K9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31" i="1"/>
  <c r="K23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2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401" i="1"/>
  <c r="K8" i="1"/>
  <c r="K400" i="1"/>
</calcChain>
</file>

<file path=xl/sharedStrings.xml><?xml version="1.0" encoding="utf-8"?>
<sst xmlns="http://schemas.openxmlformats.org/spreadsheetml/2006/main" count="11" uniqueCount="11">
  <si>
    <t>bmi</t>
  </si>
  <si>
    <t>sysbp</t>
  </si>
  <si>
    <t>diabp</t>
  </si>
  <si>
    <t>htn</t>
  </si>
  <si>
    <t>diabetes</t>
  </si>
  <si>
    <t>fam_htn</t>
  </si>
  <si>
    <t>age</t>
  </si>
  <si>
    <t>c_demografico</t>
  </si>
  <si>
    <t>c_antecedentes</t>
  </si>
  <si>
    <t>c_presion</t>
  </si>
  <si>
    <t>por_final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</si>
</sst>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" fillId="18" borderId="0" xfId="27"/>
    <xf numFmtId="0" fontId="0" fillId="18" borderId="0" xfId="27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K10" sqref="K10"/>
    </sheetView>
  </sheetViews>
  <sheetFormatPr baseColWidth="10" defaultRowHeight="14.4" x14ac:dyDescent="0.3"/>
  <cols>
    <col min="11" max="11" width="13.21875" bestFit="1" customWidth="1"/>
    <col min="12" max="12" width="13.88671875" bestFit="1" customWidth="1"/>
  </cols>
  <sheetData>
    <row r="1" spans="1:11" x14ac:dyDescent="0.3">
      <c r="A1" s="1" t="s">
        <v>6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7</v>
      </c>
      <c r="I1" s="4" t="s">
        <v>8</v>
      </c>
      <c r="J1" s="5" t="s">
        <v>9</v>
      </c>
      <c r="K1" s="5" t="s">
        <v>10</v>
      </c>
    </row>
    <row r="2" spans="1:11" x14ac:dyDescent="0.3">
      <c r="A2">
        <v>28</v>
      </c>
      <c r="B2">
        <v>28.052099999999999</v>
      </c>
      <c r="C2">
        <v>71</v>
      </c>
      <c r="D2">
        <v>143</v>
      </c>
      <c r="E2">
        <v>0</v>
      </c>
      <c r="F2">
        <v>0</v>
      </c>
      <c r="G2">
        <v>1</v>
      </c>
      <c r="H2">
        <v>0</v>
      </c>
      <c r="I2">
        <f>IF(OR(E2=1, F2=1, G2=1), 1, 0)</f>
        <v>1</v>
      </c>
      <c r="J2">
        <f>IF(OR(C2&gt;=140, D2&gt;=90), 1, 0)</f>
        <v>1</v>
      </c>
      <c r="K2" t="str">
        <f>IF((H2+I2+J2)=3, "0.99", IF((H2+I2+J2)=2, "0.66", IF((H2+I2+J2)=1, "0.33", "0.0")))</f>
        <v>0.66</v>
      </c>
    </row>
    <row r="3" spans="1:11" x14ac:dyDescent="0.3">
      <c r="A3">
        <v>28</v>
      </c>
      <c r="B3">
        <v>27.606336560126199</v>
      </c>
      <c r="C3">
        <v>87</v>
      </c>
      <c r="D3">
        <v>127</v>
      </c>
      <c r="E3">
        <v>1</v>
      </c>
      <c r="F3">
        <v>0</v>
      </c>
      <c r="G3">
        <v>1</v>
      </c>
      <c r="H3">
        <f>IF(OR(A3&lt;18, A3&gt;40, B3&gt;=30), 1, 0)</f>
        <v>0</v>
      </c>
      <c r="I3">
        <f t="shared" ref="I3:I66" si="0">IF(OR(E3=1, F3=1, G3=1), 1, 0)</f>
        <v>1</v>
      </c>
      <c r="J3">
        <f t="shared" ref="J3:J66" si="1">IF(OR(C3&gt;=140, D3&gt;=90), 1, 0)</f>
        <v>1</v>
      </c>
      <c r="K3" t="str">
        <f t="shared" ref="K3:K66" si="2">IF((H3+I3+J3)=3, "0.99", IF((H3+I3+J3)=2, "0.66", IF((H3+I3+J3)=1, "0.33", "0.0")))</f>
        <v>0.66</v>
      </c>
    </row>
    <row r="4" spans="1:11" x14ac:dyDescent="0.3">
      <c r="A4">
        <v>21</v>
      </c>
      <c r="B4">
        <v>25.673333473587199</v>
      </c>
      <c r="C4">
        <v>76</v>
      </c>
      <c r="D4">
        <v>128</v>
      </c>
      <c r="E4">
        <v>1</v>
      </c>
      <c r="F4">
        <v>1</v>
      </c>
      <c r="G4">
        <v>0</v>
      </c>
      <c r="H4">
        <f>IF(OR(A4&lt;18, A4&gt;40, B4&gt;=30), 1, 0)</f>
        <v>0</v>
      </c>
      <c r="I4">
        <f t="shared" si="0"/>
        <v>1</v>
      </c>
      <c r="J4">
        <f t="shared" si="1"/>
        <v>1</v>
      </c>
      <c r="K4" t="str">
        <f t="shared" si="2"/>
        <v>0.66</v>
      </c>
    </row>
    <row r="5" spans="1:11" x14ac:dyDescent="0.3">
      <c r="A5">
        <v>30</v>
      </c>
      <c r="B5">
        <v>27.367780940551899</v>
      </c>
      <c r="C5">
        <v>82</v>
      </c>
      <c r="D5">
        <v>122</v>
      </c>
      <c r="E5">
        <v>0</v>
      </c>
      <c r="F5">
        <v>0</v>
      </c>
      <c r="G5">
        <v>0</v>
      </c>
      <c r="H5">
        <f>IF(OR(A5&lt;18, A5&gt;40, B5&gt;=30), 1, 0)</f>
        <v>0</v>
      </c>
      <c r="I5">
        <f t="shared" si="0"/>
        <v>0</v>
      </c>
      <c r="J5">
        <f t="shared" si="1"/>
        <v>1</v>
      </c>
      <c r="K5" t="str">
        <f t="shared" si="2"/>
        <v>0.33</v>
      </c>
    </row>
    <row r="6" spans="1:11" x14ac:dyDescent="0.3">
      <c r="A6">
        <v>23</v>
      </c>
      <c r="B6">
        <v>21.5850355061173</v>
      </c>
      <c r="C6">
        <v>76</v>
      </c>
      <c r="D6">
        <v>139</v>
      </c>
      <c r="E6">
        <v>1</v>
      </c>
      <c r="F6">
        <v>1</v>
      </c>
      <c r="G6">
        <v>1</v>
      </c>
      <c r="H6">
        <f>IF(OR(A6&lt;18, A6&gt;40, B6&gt;=30), 1, 0)</f>
        <v>0</v>
      </c>
      <c r="I6">
        <f t="shared" si="0"/>
        <v>1</v>
      </c>
      <c r="J6">
        <f t="shared" si="1"/>
        <v>1</v>
      </c>
      <c r="K6" t="str">
        <f t="shared" si="2"/>
        <v>0.66</v>
      </c>
    </row>
    <row r="7" spans="1:11" x14ac:dyDescent="0.3">
      <c r="A7">
        <v>26</v>
      </c>
      <c r="B7">
        <v>18.865898318895201</v>
      </c>
      <c r="C7">
        <v>86</v>
      </c>
      <c r="D7">
        <v>132</v>
      </c>
      <c r="E7">
        <v>0</v>
      </c>
      <c r="F7">
        <v>0</v>
      </c>
      <c r="G7">
        <v>1</v>
      </c>
      <c r="H7">
        <f>IF(OR(A7&lt;18, A7&gt;40, B7&gt;=30), 1, 0)</f>
        <v>0</v>
      </c>
      <c r="I7">
        <f t="shared" si="0"/>
        <v>1</v>
      </c>
      <c r="J7">
        <f t="shared" si="1"/>
        <v>1</v>
      </c>
      <c r="K7" t="str">
        <f t="shared" si="2"/>
        <v>0.66</v>
      </c>
    </row>
    <row r="8" spans="1:11" x14ac:dyDescent="0.3">
      <c r="A8">
        <v>29</v>
      </c>
      <c r="B8">
        <v>29.6226157541338</v>
      </c>
      <c r="C8">
        <v>79</v>
      </c>
      <c r="D8">
        <v>138</v>
      </c>
      <c r="E8">
        <v>1</v>
      </c>
      <c r="F8">
        <v>0</v>
      </c>
      <c r="G8">
        <v>1</v>
      </c>
      <c r="H8">
        <f>IF(OR(A8&lt;18, A8&gt;40, B8&gt;=30), 1, 0)</f>
        <v>0</v>
      </c>
      <c r="I8">
        <f t="shared" si="0"/>
        <v>1</v>
      </c>
      <c r="J8">
        <f t="shared" si="1"/>
        <v>1</v>
      </c>
      <c r="K8" t="str">
        <f t="shared" si="2"/>
        <v>0.66</v>
      </c>
    </row>
    <row r="9" spans="1:11" x14ac:dyDescent="0.3">
      <c r="A9">
        <v>27</v>
      </c>
      <c r="B9">
        <v>33.205073314156003</v>
      </c>
      <c r="C9">
        <v>78</v>
      </c>
      <c r="D9">
        <v>120</v>
      </c>
      <c r="E9">
        <v>0</v>
      </c>
      <c r="F9">
        <v>0</v>
      </c>
      <c r="G9">
        <v>0</v>
      </c>
      <c r="H9">
        <f>IF(OR(A9&lt;18, A9&gt;40, B9&gt;=30), 1, 0)</f>
        <v>1</v>
      </c>
      <c r="I9">
        <f t="shared" si="0"/>
        <v>0</v>
      </c>
      <c r="J9">
        <f t="shared" si="1"/>
        <v>1</v>
      </c>
      <c r="K9" t="str">
        <f t="shared" si="2"/>
        <v>0.66</v>
      </c>
    </row>
    <row r="10" spans="1:11" x14ac:dyDescent="0.3">
      <c r="A10">
        <v>32</v>
      </c>
      <c r="B10">
        <v>20.015518105389699</v>
      </c>
      <c r="C10">
        <v>78</v>
      </c>
      <c r="D10">
        <v>89</v>
      </c>
      <c r="E10">
        <v>0</v>
      </c>
      <c r="F10">
        <v>0</v>
      </c>
      <c r="G10">
        <v>0</v>
      </c>
      <c r="H10">
        <f>IF(OR(A10&lt;18, A10&gt;40, B10&gt;=30), 1, 0)</f>
        <v>0</v>
      </c>
      <c r="I10">
        <f t="shared" si="0"/>
        <v>0</v>
      </c>
      <c r="J10">
        <f t="shared" si="1"/>
        <v>0</v>
      </c>
      <c r="K10" t="str">
        <f t="shared" si="2"/>
        <v>0.0</v>
      </c>
    </row>
    <row r="11" spans="1:11" x14ac:dyDescent="0.3">
      <c r="A11">
        <v>27</v>
      </c>
      <c r="B11">
        <v>18.526377225969298</v>
      </c>
      <c r="C11">
        <v>75</v>
      </c>
      <c r="D11">
        <v>123</v>
      </c>
      <c r="E11">
        <v>1</v>
      </c>
      <c r="F11">
        <v>0</v>
      </c>
      <c r="G11">
        <v>1</v>
      </c>
      <c r="H11">
        <f>IF(OR(A11&lt;18, A11&gt;40, B11&gt;=30), 1, 0)</f>
        <v>0</v>
      </c>
      <c r="I11">
        <f t="shared" si="0"/>
        <v>1</v>
      </c>
      <c r="J11">
        <f t="shared" si="1"/>
        <v>1</v>
      </c>
      <c r="K11" t="str">
        <f t="shared" si="2"/>
        <v>0.66</v>
      </c>
    </row>
    <row r="12" spans="1:11" x14ac:dyDescent="0.3">
      <c r="A12">
        <v>31</v>
      </c>
      <c r="B12">
        <v>25.024715824493999</v>
      </c>
      <c r="C12">
        <v>85</v>
      </c>
      <c r="D12">
        <v>124</v>
      </c>
      <c r="E12">
        <v>1</v>
      </c>
      <c r="F12">
        <v>1</v>
      </c>
      <c r="G12">
        <v>1</v>
      </c>
      <c r="H12">
        <f>IF(OR(A12&lt;18, A12&gt;40, B12&gt;=30), 1, 0)</f>
        <v>0</v>
      </c>
      <c r="I12">
        <f t="shared" si="0"/>
        <v>1</v>
      </c>
      <c r="J12">
        <f t="shared" si="1"/>
        <v>1</v>
      </c>
      <c r="K12" t="str">
        <f t="shared" si="2"/>
        <v>0.66</v>
      </c>
    </row>
    <row r="13" spans="1:11" x14ac:dyDescent="0.3">
      <c r="A13">
        <v>32</v>
      </c>
      <c r="B13">
        <v>22.889567268428401</v>
      </c>
      <c r="C13">
        <v>73</v>
      </c>
      <c r="D13">
        <v>133</v>
      </c>
      <c r="E13">
        <v>1</v>
      </c>
      <c r="F13">
        <v>0</v>
      </c>
      <c r="G13">
        <v>0</v>
      </c>
      <c r="H13">
        <f>IF(OR(A13&lt;18, A13&gt;40, B13&gt;=30), 1, 0)</f>
        <v>0</v>
      </c>
      <c r="I13">
        <f t="shared" si="0"/>
        <v>1</v>
      </c>
      <c r="J13">
        <f t="shared" si="1"/>
        <v>1</v>
      </c>
      <c r="K13" t="str">
        <f t="shared" si="2"/>
        <v>0.66</v>
      </c>
    </row>
    <row r="14" spans="1:11" x14ac:dyDescent="0.3">
      <c r="A14">
        <v>19</v>
      </c>
      <c r="B14">
        <v>34.692926873156601</v>
      </c>
      <c r="C14">
        <v>81</v>
      </c>
      <c r="D14">
        <v>131</v>
      </c>
      <c r="E14">
        <v>1</v>
      </c>
      <c r="F14">
        <v>0</v>
      </c>
      <c r="G14">
        <v>1</v>
      </c>
      <c r="H14">
        <f>IF(OR(A14&lt;18, A14&gt;40, B14&gt;=30), 1, 0)</f>
        <v>1</v>
      </c>
      <c r="I14">
        <f t="shared" si="0"/>
        <v>1</v>
      </c>
      <c r="J14">
        <f t="shared" si="1"/>
        <v>1</v>
      </c>
      <c r="K14" t="str">
        <f t="shared" si="2"/>
        <v>0.99</v>
      </c>
    </row>
    <row r="15" spans="1:11" x14ac:dyDescent="0.3">
      <c r="A15">
        <v>31</v>
      </c>
      <c r="B15">
        <v>27.942610570773699</v>
      </c>
      <c r="C15">
        <v>70</v>
      </c>
      <c r="D15">
        <v>121</v>
      </c>
      <c r="E15">
        <v>1</v>
      </c>
      <c r="F15">
        <v>1</v>
      </c>
      <c r="G15">
        <v>0</v>
      </c>
      <c r="H15">
        <f>IF(OR(A15&lt;18, A15&gt;40, B15&gt;=30), 1, 0)</f>
        <v>0</v>
      </c>
      <c r="I15">
        <f t="shared" si="0"/>
        <v>1</v>
      </c>
      <c r="J15">
        <f t="shared" si="1"/>
        <v>1</v>
      </c>
      <c r="K15" t="str">
        <f t="shared" si="2"/>
        <v>0.66</v>
      </c>
    </row>
    <row r="16" spans="1:11" x14ac:dyDescent="0.3">
      <c r="A16">
        <v>33</v>
      </c>
      <c r="B16">
        <v>32.310047801686899</v>
      </c>
      <c r="C16">
        <v>84</v>
      </c>
      <c r="D16">
        <v>121</v>
      </c>
      <c r="E16">
        <v>1</v>
      </c>
      <c r="F16">
        <v>1</v>
      </c>
      <c r="G16">
        <v>0</v>
      </c>
      <c r="H16">
        <f>IF(OR(A16&lt;18, A16&gt;40, B16&gt;=30), 1, 0)</f>
        <v>1</v>
      </c>
      <c r="I16">
        <f t="shared" si="0"/>
        <v>1</v>
      </c>
      <c r="J16">
        <f t="shared" si="1"/>
        <v>1</v>
      </c>
      <c r="K16" t="str">
        <f t="shared" si="2"/>
        <v>0.99</v>
      </c>
    </row>
    <row r="17" spans="1:11" x14ac:dyDescent="0.3">
      <c r="A17">
        <v>19</v>
      </c>
      <c r="B17">
        <v>24.793926875874899</v>
      </c>
      <c r="C17">
        <v>80</v>
      </c>
      <c r="D17">
        <v>129</v>
      </c>
      <c r="E17">
        <v>1</v>
      </c>
      <c r="F17">
        <v>0</v>
      </c>
      <c r="G17">
        <v>0</v>
      </c>
      <c r="H17">
        <f>IF(OR(A17&lt;18, A17&gt;40, B17&gt;=30), 1, 0)</f>
        <v>0</v>
      </c>
      <c r="I17">
        <f t="shared" si="0"/>
        <v>1</v>
      </c>
      <c r="J17">
        <f t="shared" si="1"/>
        <v>1</v>
      </c>
      <c r="K17" t="str">
        <f t="shared" si="2"/>
        <v>0.66</v>
      </c>
    </row>
    <row r="18" spans="1:11" x14ac:dyDescent="0.3">
      <c r="A18">
        <v>19</v>
      </c>
      <c r="B18">
        <v>23.9306256864676</v>
      </c>
      <c r="C18">
        <v>88</v>
      </c>
      <c r="D18">
        <v>120</v>
      </c>
      <c r="E18">
        <v>0</v>
      </c>
      <c r="F18">
        <v>1</v>
      </c>
      <c r="G18">
        <v>1</v>
      </c>
      <c r="H18">
        <f>IF(OR(A18&lt;18, A18&gt;40, B18&gt;=30), 1, 0)</f>
        <v>0</v>
      </c>
      <c r="I18">
        <f t="shared" si="0"/>
        <v>1</v>
      </c>
      <c r="J18">
        <f t="shared" si="1"/>
        <v>1</v>
      </c>
      <c r="K18" t="str">
        <f t="shared" si="2"/>
        <v>0.66</v>
      </c>
    </row>
    <row r="19" spans="1:11" x14ac:dyDescent="0.3">
      <c r="A19">
        <v>25</v>
      </c>
      <c r="B19">
        <v>23.9522446111508</v>
      </c>
      <c r="C19">
        <v>77</v>
      </c>
      <c r="D19">
        <v>124</v>
      </c>
      <c r="E19">
        <v>0</v>
      </c>
      <c r="F19">
        <v>0</v>
      </c>
      <c r="G19">
        <v>0</v>
      </c>
      <c r="H19">
        <f>IF(OR(A19&lt;18, A19&gt;40, B19&gt;=30), 1, 0)</f>
        <v>0</v>
      </c>
      <c r="I19">
        <f t="shared" si="0"/>
        <v>0</v>
      </c>
      <c r="J19">
        <f t="shared" si="1"/>
        <v>1</v>
      </c>
      <c r="K19" t="str">
        <f t="shared" si="2"/>
        <v>0.33</v>
      </c>
    </row>
    <row r="20" spans="1:11" x14ac:dyDescent="0.3">
      <c r="A20">
        <v>32</v>
      </c>
      <c r="B20">
        <v>34.091046705590799</v>
      </c>
      <c r="C20">
        <v>85</v>
      </c>
      <c r="D20">
        <v>126</v>
      </c>
      <c r="E20">
        <v>0</v>
      </c>
      <c r="F20">
        <v>0</v>
      </c>
      <c r="G20">
        <v>0</v>
      </c>
      <c r="H20">
        <f>IF(OR(A20&lt;18, A20&gt;40, B20&gt;=30), 1, 0)</f>
        <v>1</v>
      </c>
      <c r="I20">
        <f t="shared" si="0"/>
        <v>0</v>
      </c>
      <c r="J20">
        <f t="shared" si="1"/>
        <v>1</v>
      </c>
      <c r="K20" t="str">
        <f t="shared" si="2"/>
        <v>0.66</v>
      </c>
    </row>
    <row r="21" spans="1:11" x14ac:dyDescent="0.3">
      <c r="A21">
        <v>33</v>
      </c>
      <c r="B21">
        <v>29.3429838501695</v>
      </c>
      <c r="C21">
        <v>76</v>
      </c>
      <c r="D21">
        <v>126</v>
      </c>
      <c r="E21">
        <v>0</v>
      </c>
      <c r="F21">
        <v>0</v>
      </c>
      <c r="G21">
        <v>1</v>
      </c>
      <c r="H21">
        <f>IF(OR(A21&lt;18, A21&gt;40, B21&gt;=30), 1, 0)</f>
        <v>0</v>
      </c>
      <c r="I21">
        <f t="shared" si="0"/>
        <v>1</v>
      </c>
      <c r="J21">
        <f t="shared" si="1"/>
        <v>1</v>
      </c>
      <c r="K21" t="str">
        <f t="shared" si="2"/>
        <v>0.66</v>
      </c>
    </row>
    <row r="22" spans="1:11" x14ac:dyDescent="0.3">
      <c r="A22">
        <v>31</v>
      </c>
      <c r="B22">
        <v>19.827369848440799</v>
      </c>
      <c r="C22">
        <v>83</v>
      </c>
      <c r="D22">
        <v>125</v>
      </c>
      <c r="E22">
        <v>1</v>
      </c>
      <c r="F22">
        <v>1</v>
      </c>
      <c r="G22">
        <v>0</v>
      </c>
      <c r="H22">
        <f>IF(OR(A22&lt;18, A22&gt;40, B22&gt;=30), 1, 0)</f>
        <v>0</v>
      </c>
      <c r="I22">
        <f t="shared" si="0"/>
        <v>1</v>
      </c>
      <c r="J22">
        <f t="shared" si="1"/>
        <v>1</v>
      </c>
      <c r="K22" t="str">
        <f t="shared" si="2"/>
        <v>0.66</v>
      </c>
    </row>
    <row r="23" spans="1:11" x14ac:dyDescent="0.3">
      <c r="A23">
        <v>26</v>
      </c>
      <c r="B23">
        <v>20.044079839606301</v>
      </c>
      <c r="C23">
        <v>81</v>
      </c>
      <c r="D23">
        <v>123</v>
      </c>
      <c r="E23">
        <v>0</v>
      </c>
      <c r="F23">
        <v>0</v>
      </c>
      <c r="G23">
        <v>1</v>
      </c>
      <c r="H23">
        <f>IF(OR(A23&lt;18, A23&gt;40, B23&gt;=30), 1, 0)</f>
        <v>0</v>
      </c>
      <c r="I23">
        <f t="shared" si="0"/>
        <v>1</v>
      </c>
      <c r="J23">
        <f t="shared" si="1"/>
        <v>1</v>
      </c>
      <c r="K23" t="str">
        <f t="shared" si="2"/>
        <v>0.66</v>
      </c>
    </row>
    <row r="24" spans="1:11" x14ac:dyDescent="0.3">
      <c r="A24">
        <v>29</v>
      </c>
      <c r="B24">
        <v>21.447626034572</v>
      </c>
      <c r="C24">
        <v>79</v>
      </c>
      <c r="D24">
        <v>134</v>
      </c>
      <c r="E24">
        <v>0</v>
      </c>
      <c r="F24">
        <v>1</v>
      </c>
      <c r="G24">
        <v>0</v>
      </c>
      <c r="H24">
        <f>IF(OR(A24&lt;18, A24&gt;40, B24&gt;=30), 1, 0)</f>
        <v>0</v>
      </c>
      <c r="I24">
        <f t="shared" si="0"/>
        <v>1</v>
      </c>
      <c r="J24">
        <f t="shared" si="1"/>
        <v>1</v>
      </c>
      <c r="K24" t="str">
        <f t="shared" si="2"/>
        <v>0.66</v>
      </c>
    </row>
    <row r="25" spans="1:11" x14ac:dyDescent="0.3">
      <c r="A25">
        <v>30</v>
      </c>
      <c r="B25">
        <v>30.6061385163874</v>
      </c>
      <c r="C25">
        <v>75</v>
      </c>
      <c r="D25">
        <v>138</v>
      </c>
      <c r="E25">
        <v>1</v>
      </c>
      <c r="F25">
        <v>1</v>
      </c>
      <c r="G25">
        <v>1</v>
      </c>
      <c r="H25">
        <f>IF(OR(A25&lt;18, A25&gt;40, B25&gt;=30), 1, 0)</f>
        <v>1</v>
      </c>
      <c r="I25">
        <f t="shared" si="0"/>
        <v>1</v>
      </c>
      <c r="J25">
        <f t="shared" si="1"/>
        <v>1</v>
      </c>
      <c r="K25" t="str">
        <f t="shared" si="2"/>
        <v>0.99</v>
      </c>
    </row>
    <row r="26" spans="1:11" x14ac:dyDescent="0.3">
      <c r="A26">
        <v>26</v>
      </c>
      <c r="B26">
        <v>20.173884082909701</v>
      </c>
      <c r="C26">
        <v>73</v>
      </c>
      <c r="D26">
        <v>133</v>
      </c>
      <c r="E26">
        <v>0</v>
      </c>
      <c r="F26">
        <v>0</v>
      </c>
      <c r="G26">
        <v>0</v>
      </c>
      <c r="H26">
        <f>IF(OR(A26&lt;18, A26&gt;40, B26&gt;=30), 1, 0)</f>
        <v>0</v>
      </c>
      <c r="I26">
        <f t="shared" si="0"/>
        <v>0</v>
      </c>
      <c r="J26">
        <f t="shared" si="1"/>
        <v>1</v>
      </c>
      <c r="K26" t="str">
        <f t="shared" si="2"/>
        <v>0.33</v>
      </c>
    </row>
    <row r="27" spans="1:11" x14ac:dyDescent="0.3">
      <c r="A27">
        <v>28</v>
      </c>
      <c r="B27">
        <v>24.6200465818021</v>
      </c>
      <c r="C27">
        <v>70</v>
      </c>
      <c r="D27">
        <v>131</v>
      </c>
      <c r="E27">
        <v>1</v>
      </c>
      <c r="F27">
        <v>0</v>
      </c>
      <c r="G27">
        <v>1</v>
      </c>
      <c r="H27">
        <f>IF(OR(A27&lt;18, A27&gt;40, B27&gt;=30), 1, 0)</f>
        <v>0</v>
      </c>
      <c r="I27">
        <f t="shared" si="0"/>
        <v>1</v>
      </c>
      <c r="J27">
        <f t="shared" si="1"/>
        <v>1</v>
      </c>
      <c r="K27" t="str">
        <f t="shared" si="2"/>
        <v>0.66</v>
      </c>
    </row>
    <row r="28" spans="1:11" x14ac:dyDescent="0.3">
      <c r="A28">
        <v>18</v>
      </c>
      <c r="B28">
        <v>33.986514337575102</v>
      </c>
      <c r="C28">
        <v>82</v>
      </c>
      <c r="D28">
        <v>130</v>
      </c>
      <c r="E28">
        <v>1</v>
      </c>
      <c r="F28">
        <v>1</v>
      </c>
      <c r="G28">
        <v>0</v>
      </c>
      <c r="H28">
        <f>IF(OR(A28&lt;18, A28&gt;40, B28&gt;=30), 1, 0)</f>
        <v>1</v>
      </c>
      <c r="I28">
        <f t="shared" si="0"/>
        <v>1</v>
      </c>
      <c r="J28">
        <f t="shared" si="1"/>
        <v>1</v>
      </c>
      <c r="K28" t="str">
        <f t="shared" si="2"/>
        <v>0.99</v>
      </c>
    </row>
    <row r="29" spans="1:11" x14ac:dyDescent="0.3">
      <c r="A29">
        <v>24</v>
      </c>
      <c r="B29">
        <v>29.961226874528201</v>
      </c>
      <c r="C29">
        <v>72</v>
      </c>
      <c r="D29">
        <v>124</v>
      </c>
      <c r="E29">
        <v>0</v>
      </c>
      <c r="F29">
        <v>1</v>
      </c>
      <c r="G29">
        <v>1</v>
      </c>
      <c r="H29">
        <f>IF(OR(A29&lt;18, A29&gt;40, B29&gt;=30), 1, 0)</f>
        <v>0</v>
      </c>
      <c r="I29">
        <f t="shared" si="0"/>
        <v>1</v>
      </c>
      <c r="J29">
        <f t="shared" si="1"/>
        <v>1</v>
      </c>
      <c r="K29" t="str">
        <f t="shared" si="2"/>
        <v>0.66</v>
      </c>
    </row>
    <row r="30" spans="1:11" x14ac:dyDescent="0.3">
      <c r="A30">
        <v>26</v>
      </c>
      <c r="B30">
        <v>27.132697239236101</v>
      </c>
      <c r="C30">
        <v>83</v>
      </c>
      <c r="D30">
        <v>126</v>
      </c>
      <c r="E30">
        <v>0</v>
      </c>
      <c r="F30">
        <v>1</v>
      </c>
      <c r="G30">
        <v>1</v>
      </c>
      <c r="H30">
        <f>IF(OR(A30&lt;18, A30&gt;40, B30&gt;=30), 1, 0)</f>
        <v>0</v>
      </c>
      <c r="I30">
        <f t="shared" si="0"/>
        <v>1</v>
      </c>
      <c r="J30">
        <f t="shared" si="1"/>
        <v>1</v>
      </c>
      <c r="K30" t="str">
        <f t="shared" si="2"/>
        <v>0.66</v>
      </c>
    </row>
    <row r="31" spans="1:11" x14ac:dyDescent="0.3">
      <c r="A31">
        <v>34</v>
      </c>
      <c r="B31">
        <v>25.622712924205398</v>
      </c>
      <c r="C31">
        <v>70</v>
      </c>
      <c r="D31">
        <v>138</v>
      </c>
      <c r="E31">
        <v>0</v>
      </c>
      <c r="F31">
        <v>1</v>
      </c>
      <c r="G31">
        <v>1</v>
      </c>
      <c r="H31">
        <f>IF(OR(A31&lt;18, A31&gt;40, B31&gt;=30), 1, 0)</f>
        <v>0</v>
      </c>
      <c r="I31">
        <f t="shared" si="0"/>
        <v>1</v>
      </c>
      <c r="J31">
        <f t="shared" si="1"/>
        <v>1</v>
      </c>
      <c r="K31" t="str">
        <f t="shared" si="2"/>
        <v>0.66</v>
      </c>
    </row>
    <row r="32" spans="1:11" x14ac:dyDescent="0.3">
      <c r="A32">
        <v>29</v>
      </c>
      <c r="B32">
        <v>30.976305486203302</v>
      </c>
      <c r="C32">
        <v>70</v>
      </c>
      <c r="D32">
        <v>131</v>
      </c>
      <c r="E32">
        <v>0</v>
      </c>
      <c r="F32">
        <v>1</v>
      </c>
      <c r="G32">
        <v>1</v>
      </c>
      <c r="H32">
        <f>IF(OR(A32&lt;18, A32&gt;40, B32&gt;=30), 1, 0)</f>
        <v>1</v>
      </c>
      <c r="I32">
        <f t="shared" si="0"/>
        <v>1</v>
      </c>
      <c r="J32">
        <f t="shared" si="1"/>
        <v>1</v>
      </c>
      <c r="K32" t="str">
        <f t="shared" si="2"/>
        <v>0.99</v>
      </c>
    </row>
    <row r="33" spans="1:11" x14ac:dyDescent="0.3">
      <c r="A33">
        <v>22</v>
      </c>
      <c r="B33">
        <v>22.950940607608501</v>
      </c>
      <c r="C33">
        <v>89</v>
      </c>
      <c r="D33">
        <v>120</v>
      </c>
      <c r="E33">
        <v>1</v>
      </c>
      <c r="F33">
        <v>0</v>
      </c>
      <c r="G33">
        <v>1</v>
      </c>
      <c r="H33">
        <f>IF(OR(A33&lt;18, A33&gt;40, B33&gt;=30), 1, 0)</f>
        <v>0</v>
      </c>
      <c r="I33">
        <f t="shared" si="0"/>
        <v>1</v>
      </c>
      <c r="J33">
        <f t="shared" si="1"/>
        <v>1</v>
      </c>
      <c r="K33" t="str">
        <f t="shared" si="2"/>
        <v>0.66</v>
      </c>
    </row>
    <row r="34" spans="1:11" x14ac:dyDescent="0.3">
      <c r="A34">
        <v>28</v>
      </c>
      <c r="B34">
        <v>33.320700090431501</v>
      </c>
      <c r="C34">
        <v>73</v>
      </c>
      <c r="D34">
        <v>128</v>
      </c>
      <c r="E34">
        <v>1</v>
      </c>
      <c r="F34">
        <v>0</v>
      </c>
      <c r="G34">
        <v>1</v>
      </c>
      <c r="H34">
        <f>IF(OR(A34&lt;18, A34&gt;40, B34&gt;=30), 1, 0)</f>
        <v>1</v>
      </c>
      <c r="I34">
        <f t="shared" si="0"/>
        <v>1</v>
      </c>
      <c r="J34">
        <f t="shared" si="1"/>
        <v>1</v>
      </c>
      <c r="K34" t="str">
        <f t="shared" si="2"/>
        <v>0.99</v>
      </c>
    </row>
    <row r="35" spans="1:11" x14ac:dyDescent="0.3">
      <c r="A35">
        <v>24</v>
      </c>
      <c r="B35">
        <v>25.480609363796201</v>
      </c>
      <c r="C35">
        <v>79</v>
      </c>
      <c r="D35">
        <v>121</v>
      </c>
      <c r="E35">
        <v>1</v>
      </c>
      <c r="F35">
        <v>0</v>
      </c>
      <c r="G35">
        <v>0</v>
      </c>
      <c r="H35">
        <f>IF(OR(A35&lt;18, A35&gt;40, B35&gt;=30), 1, 0)</f>
        <v>0</v>
      </c>
      <c r="I35">
        <f t="shared" si="0"/>
        <v>1</v>
      </c>
      <c r="J35">
        <f t="shared" si="1"/>
        <v>1</v>
      </c>
      <c r="K35" t="str">
        <f t="shared" si="2"/>
        <v>0.66</v>
      </c>
    </row>
    <row r="36" spans="1:11" x14ac:dyDescent="0.3">
      <c r="A36">
        <v>22</v>
      </c>
      <c r="B36">
        <v>26.379580845018001</v>
      </c>
      <c r="C36">
        <v>77</v>
      </c>
      <c r="D36">
        <v>130</v>
      </c>
      <c r="E36">
        <v>1</v>
      </c>
      <c r="F36">
        <v>1</v>
      </c>
      <c r="G36">
        <v>0</v>
      </c>
      <c r="H36">
        <f>IF(OR(A36&lt;18, A36&gt;40, B36&gt;=30), 1, 0)</f>
        <v>0</v>
      </c>
      <c r="I36">
        <f t="shared" si="0"/>
        <v>1</v>
      </c>
      <c r="J36">
        <f t="shared" si="1"/>
        <v>1</v>
      </c>
      <c r="K36" t="str">
        <f t="shared" si="2"/>
        <v>0.66</v>
      </c>
    </row>
    <row r="37" spans="1:11" x14ac:dyDescent="0.3">
      <c r="A37">
        <v>31</v>
      </c>
      <c r="B37">
        <v>27.8924725123941</v>
      </c>
      <c r="C37">
        <v>80</v>
      </c>
      <c r="D37">
        <v>121</v>
      </c>
      <c r="E37">
        <v>1</v>
      </c>
      <c r="F37">
        <v>0</v>
      </c>
      <c r="G37">
        <v>0</v>
      </c>
      <c r="H37">
        <f>IF(OR(A37&lt;18, A37&gt;40, B37&gt;=30), 1, 0)</f>
        <v>0</v>
      </c>
      <c r="I37">
        <f t="shared" si="0"/>
        <v>1</v>
      </c>
      <c r="J37">
        <f t="shared" si="1"/>
        <v>1</v>
      </c>
      <c r="K37" t="str">
        <f t="shared" si="2"/>
        <v>0.66</v>
      </c>
    </row>
    <row r="38" spans="1:11" x14ac:dyDescent="0.3">
      <c r="A38">
        <v>29</v>
      </c>
      <c r="B38">
        <v>31.379229183073001</v>
      </c>
      <c r="C38">
        <v>83</v>
      </c>
      <c r="D38">
        <v>137</v>
      </c>
      <c r="E38">
        <v>0</v>
      </c>
      <c r="F38">
        <v>1</v>
      </c>
      <c r="G38">
        <v>0</v>
      </c>
      <c r="H38">
        <f>IF(OR(A38&lt;18, A38&gt;40, B38&gt;=30), 1, 0)</f>
        <v>1</v>
      </c>
      <c r="I38">
        <f t="shared" si="0"/>
        <v>1</v>
      </c>
      <c r="J38">
        <f t="shared" si="1"/>
        <v>1</v>
      </c>
      <c r="K38" t="str">
        <f t="shared" si="2"/>
        <v>0.99</v>
      </c>
    </row>
    <row r="39" spans="1:11" x14ac:dyDescent="0.3">
      <c r="A39">
        <v>21</v>
      </c>
      <c r="B39">
        <v>28.120404499665501</v>
      </c>
      <c r="C39">
        <v>84</v>
      </c>
      <c r="D39">
        <v>131</v>
      </c>
      <c r="E39">
        <v>1</v>
      </c>
      <c r="F39">
        <v>1</v>
      </c>
      <c r="G39">
        <v>0</v>
      </c>
      <c r="H39">
        <f>IF(OR(A39&lt;18, A39&gt;40, B39&gt;=30), 1, 0)</f>
        <v>0</v>
      </c>
      <c r="I39">
        <f t="shared" si="0"/>
        <v>1</v>
      </c>
      <c r="J39">
        <f t="shared" si="1"/>
        <v>1</v>
      </c>
      <c r="K39" t="str">
        <f t="shared" si="2"/>
        <v>0.66</v>
      </c>
    </row>
    <row r="40" spans="1:11" x14ac:dyDescent="0.3">
      <c r="A40">
        <v>32</v>
      </c>
      <c r="B40">
        <v>32.220855496345102</v>
      </c>
      <c r="C40">
        <v>82</v>
      </c>
      <c r="D40">
        <v>138</v>
      </c>
      <c r="E40">
        <v>0</v>
      </c>
      <c r="F40">
        <v>0</v>
      </c>
      <c r="G40">
        <v>0</v>
      </c>
      <c r="H40">
        <f>IF(OR(A40&lt;18, A40&gt;40, B40&gt;=30), 1, 0)</f>
        <v>1</v>
      </c>
      <c r="I40">
        <f t="shared" si="0"/>
        <v>0</v>
      </c>
      <c r="J40">
        <f t="shared" si="1"/>
        <v>1</v>
      </c>
      <c r="K40" t="str">
        <f t="shared" si="2"/>
        <v>0.66</v>
      </c>
    </row>
    <row r="41" spans="1:11" x14ac:dyDescent="0.3">
      <c r="A41">
        <v>21</v>
      </c>
      <c r="B41">
        <v>24.2598419789656</v>
      </c>
      <c r="C41">
        <v>79</v>
      </c>
      <c r="D41">
        <v>123</v>
      </c>
      <c r="E41">
        <v>1</v>
      </c>
      <c r="F41">
        <v>0</v>
      </c>
      <c r="G41">
        <v>0</v>
      </c>
      <c r="H41">
        <f>IF(OR(A41&lt;18, A41&gt;40, B41&gt;=30), 1, 0)</f>
        <v>0</v>
      </c>
      <c r="I41">
        <f t="shared" si="0"/>
        <v>1</v>
      </c>
      <c r="J41">
        <f t="shared" si="1"/>
        <v>1</v>
      </c>
      <c r="K41" t="str">
        <f t="shared" si="2"/>
        <v>0.66</v>
      </c>
    </row>
    <row r="42" spans="1:11" x14ac:dyDescent="0.3">
      <c r="A42">
        <v>19</v>
      </c>
      <c r="B42">
        <v>25.905232743373201</v>
      </c>
      <c r="C42">
        <v>81</v>
      </c>
      <c r="D42">
        <v>121</v>
      </c>
      <c r="E42">
        <v>0</v>
      </c>
      <c r="F42">
        <v>0</v>
      </c>
      <c r="G42">
        <v>1</v>
      </c>
      <c r="H42">
        <f>IF(OR(A42&lt;18, A42&gt;40, B42&gt;=30), 1, 0)</f>
        <v>0</v>
      </c>
      <c r="I42">
        <f t="shared" si="0"/>
        <v>1</v>
      </c>
      <c r="J42">
        <f t="shared" si="1"/>
        <v>1</v>
      </c>
      <c r="K42" t="str">
        <f t="shared" si="2"/>
        <v>0.66</v>
      </c>
    </row>
    <row r="43" spans="1:11" x14ac:dyDescent="0.3">
      <c r="A43">
        <v>25</v>
      </c>
      <c r="B43">
        <v>30.757466135885799</v>
      </c>
      <c r="C43">
        <v>89</v>
      </c>
      <c r="D43">
        <v>138</v>
      </c>
      <c r="E43">
        <v>0</v>
      </c>
      <c r="F43">
        <v>0</v>
      </c>
      <c r="G43">
        <v>1</v>
      </c>
      <c r="H43">
        <f>IF(OR(A43&lt;18, A43&gt;40, B43&gt;=30), 1, 0)</f>
        <v>1</v>
      </c>
      <c r="I43">
        <f t="shared" si="0"/>
        <v>1</v>
      </c>
      <c r="J43">
        <f t="shared" si="1"/>
        <v>1</v>
      </c>
      <c r="K43" t="str">
        <f t="shared" si="2"/>
        <v>0.99</v>
      </c>
    </row>
    <row r="44" spans="1:11" x14ac:dyDescent="0.3">
      <c r="A44">
        <v>31</v>
      </c>
      <c r="B44">
        <v>26.376185210367201</v>
      </c>
      <c r="C44">
        <v>74</v>
      </c>
      <c r="D44">
        <v>136</v>
      </c>
      <c r="E44">
        <v>1</v>
      </c>
      <c r="F44">
        <v>1</v>
      </c>
      <c r="G44">
        <v>1</v>
      </c>
      <c r="H44">
        <f>IF(OR(A44&lt;18, A44&gt;40, B44&gt;=30), 1, 0)</f>
        <v>0</v>
      </c>
      <c r="I44">
        <f t="shared" si="0"/>
        <v>1</v>
      </c>
      <c r="J44">
        <f t="shared" si="1"/>
        <v>1</v>
      </c>
      <c r="K44" t="str">
        <f t="shared" si="2"/>
        <v>0.66</v>
      </c>
    </row>
    <row r="45" spans="1:11" x14ac:dyDescent="0.3">
      <c r="A45">
        <v>26</v>
      </c>
      <c r="B45">
        <v>20.606532859804201</v>
      </c>
      <c r="C45">
        <v>71</v>
      </c>
      <c r="D45">
        <v>126</v>
      </c>
      <c r="E45">
        <v>1</v>
      </c>
      <c r="F45">
        <v>1</v>
      </c>
      <c r="G45">
        <v>0</v>
      </c>
      <c r="H45">
        <f>IF(OR(A45&lt;18, A45&gt;40, B45&gt;=30), 1, 0)</f>
        <v>0</v>
      </c>
      <c r="I45">
        <f t="shared" si="0"/>
        <v>1</v>
      </c>
      <c r="J45">
        <f t="shared" si="1"/>
        <v>1</v>
      </c>
      <c r="K45" t="str">
        <f t="shared" si="2"/>
        <v>0.66</v>
      </c>
    </row>
    <row r="46" spans="1:11" x14ac:dyDescent="0.3">
      <c r="A46">
        <v>30</v>
      </c>
      <c r="B46">
        <v>30.471407763703599</v>
      </c>
      <c r="C46">
        <v>74</v>
      </c>
      <c r="D46">
        <v>131</v>
      </c>
      <c r="E46">
        <v>1</v>
      </c>
      <c r="F46">
        <v>1</v>
      </c>
      <c r="G46">
        <v>1</v>
      </c>
      <c r="H46">
        <f>IF(OR(A46&lt;18, A46&gt;40, B46&gt;=30), 1, 0)</f>
        <v>1</v>
      </c>
      <c r="I46">
        <f t="shared" si="0"/>
        <v>1</v>
      </c>
      <c r="J46">
        <f t="shared" si="1"/>
        <v>1</v>
      </c>
      <c r="K46" t="str">
        <f t="shared" si="2"/>
        <v>0.99</v>
      </c>
    </row>
    <row r="47" spans="1:11" x14ac:dyDescent="0.3">
      <c r="A47">
        <v>28</v>
      </c>
      <c r="B47">
        <v>21.1489929324567</v>
      </c>
      <c r="C47">
        <v>75</v>
      </c>
      <c r="D47">
        <v>125</v>
      </c>
      <c r="E47">
        <v>1</v>
      </c>
      <c r="F47">
        <v>1</v>
      </c>
      <c r="G47">
        <v>0</v>
      </c>
      <c r="H47">
        <f>IF(OR(A47&lt;18, A47&gt;40, B47&gt;=30), 1, 0)</f>
        <v>0</v>
      </c>
      <c r="I47">
        <f t="shared" si="0"/>
        <v>1</v>
      </c>
      <c r="J47">
        <f t="shared" si="1"/>
        <v>1</v>
      </c>
      <c r="K47" t="str">
        <f t="shared" si="2"/>
        <v>0.66</v>
      </c>
    </row>
    <row r="48" spans="1:11" x14ac:dyDescent="0.3">
      <c r="A48">
        <v>33</v>
      </c>
      <c r="B48">
        <v>34.989928489884299</v>
      </c>
      <c r="C48">
        <v>70</v>
      </c>
      <c r="D48">
        <v>122</v>
      </c>
      <c r="E48">
        <v>0</v>
      </c>
      <c r="F48">
        <v>1</v>
      </c>
      <c r="G48">
        <v>1</v>
      </c>
      <c r="H48">
        <f>IF(OR(A48&lt;18, A48&gt;40, B48&gt;=30), 1, 0)</f>
        <v>1</v>
      </c>
      <c r="I48">
        <f t="shared" si="0"/>
        <v>1</v>
      </c>
      <c r="J48">
        <f t="shared" si="1"/>
        <v>1</v>
      </c>
      <c r="K48" t="str">
        <f t="shared" si="2"/>
        <v>0.99</v>
      </c>
    </row>
    <row r="49" spans="1:11" x14ac:dyDescent="0.3">
      <c r="A49">
        <v>32</v>
      </c>
      <c r="B49">
        <v>25.634545181246501</v>
      </c>
      <c r="C49">
        <v>70</v>
      </c>
      <c r="D49">
        <v>131</v>
      </c>
      <c r="E49">
        <v>1</v>
      </c>
      <c r="F49">
        <v>0</v>
      </c>
      <c r="G49">
        <v>1</v>
      </c>
      <c r="H49">
        <f>IF(OR(A49&lt;18, A49&gt;40, B49&gt;=30), 1, 0)</f>
        <v>0</v>
      </c>
      <c r="I49">
        <f t="shared" si="0"/>
        <v>1</v>
      </c>
      <c r="J49">
        <f t="shared" si="1"/>
        <v>1</v>
      </c>
      <c r="K49" t="str">
        <f t="shared" si="2"/>
        <v>0.66</v>
      </c>
    </row>
    <row r="50" spans="1:11" x14ac:dyDescent="0.3">
      <c r="A50">
        <v>29</v>
      </c>
      <c r="B50">
        <v>33.351813169537898</v>
      </c>
      <c r="C50">
        <v>89</v>
      </c>
      <c r="D50">
        <v>127</v>
      </c>
      <c r="E50">
        <v>1</v>
      </c>
      <c r="F50">
        <v>0</v>
      </c>
      <c r="G50">
        <v>1</v>
      </c>
      <c r="H50">
        <f>IF(OR(A50&lt;18, A50&gt;40, B50&gt;=30), 1, 0)</f>
        <v>1</v>
      </c>
      <c r="I50">
        <f t="shared" si="0"/>
        <v>1</v>
      </c>
      <c r="J50">
        <f t="shared" si="1"/>
        <v>1</v>
      </c>
      <c r="K50" t="str">
        <f t="shared" si="2"/>
        <v>0.99</v>
      </c>
    </row>
    <row r="51" spans="1:11" x14ac:dyDescent="0.3">
      <c r="A51">
        <v>31</v>
      </c>
      <c r="B51">
        <v>20.0419928072061</v>
      </c>
      <c r="C51">
        <v>80</v>
      </c>
      <c r="D51">
        <v>136</v>
      </c>
      <c r="E51">
        <v>0</v>
      </c>
      <c r="F51">
        <v>0</v>
      </c>
      <c r="G51">
        <v>0</v>
      </c>
      <c r="H51">
        <f>IF(OR(A51&lt;18, A51&gt;40, B51&gt;=30), 1, 0)</f>
        <v>0</v>
      </c>
      <c r="I51">
        <f t="shared" si="0"/>
        <v>0</v>
      </c>
      <c r="J51">
        <f t="shared" si="1"/>
        <v>1</v>
      </c>
      <c r="K51" t="str">
        <f t="shared" si="2"/>
        <v>0.33</v>
      </c>
    </row>
    <row r="52" spans="1:11" x14ac:dyDescent="0.3">
      <c r="A52">
        <v>19</v>
      </c>
      <c r="B52">
        <v>20.0899185624992</v>
      </c>
      <c r="C52">
        <v>78</v>
      </c>
      <c r="D52">
        <v>137</v>
      </c>
      <c r="E52">
        <v>1</v>
      </c>
      <c r="F52">
        <v>1</v>
      </c>
      <c r="G52">
        <v>1</v>
      </c>
      <c r="H52">
        <f>IF(OR(A52&lt;18, A52&gt;40, B52&gt;=30), 1, 0)</f>
        <v>0</v>
      </c>
      <c r="I52">
        <f t="shared" si="0"/>
        <v>1</v>
      </c>
      <c r="J52">
        <f t="shared" si="1"/>
        <v>1</v>
      </c>
      <c r="K52" t="str">
        <f t="shared" si="2"/>
        <v>0.66</v>
      </c>
    </row>
    <row r="53" spans="1:11" x14ac:dyDescent="0.3">
      <c r="A53">
        <v>30</v>
      </c>
      <c r="B53">
        <v>28.462488926784701</v>
      </c>
      <c r="C53">
        <v>77</v>
      </c>
      <c r="D53">
        <v>129</v>
      </c>
      <c r="E53">
        <v>0</v>
      </c>
      <c r="F53">
        <v>0</v>
      </c>
      <c r="G53">
        <v>0</v>
      </c>
      <c r="H53">
        <f>IF(OR(A53&lt;18, A53&gt;40, B53&gt;=30), 1, 0)</f>
        <v>0</v>
      </c>
      <c r="I53">
        <f t="shared" si="0"/>
        <v>0</v>
      </c>
      <c r="J53">
        <f t="shared" si="1"/>
        <v>1</v>
      </c>
      <c r="K53" t="str">
        <f t="shared" si="2"/>
        <v>0.33</v>
      </c>
    </row>
    <row r="54" spans="1:11" x14ac:dyDescent="0.3">
      <c r="A54">
        <v>19</v>
      </c>
      <c r="B54">
        <v>23.109546092880301</v>
      </c>
      <c r="C54">
        <v>86</v>
      </c>
      <c r="D54">
        <v>136</v>
      </c>
      <c r="E54">
        <v>1</v>
      </c>
      <c r="F54">
        <v>1</v>
      </c>
      <c r="G54">
        <v>0</v>
      </c>
      <c r="H54">
        <f>IF(OR(A54&lt;18, A54&gt;40, B54&gt;=30), 1, 0)</f>
        <v>0</v>
      </c>
      <c r="I54">
        <f t="shared" si="0"/>
        <v>1</v>
      </c>
      <c r="J54">
        <f t="shared" si="1"/>
        <v>1</v>
      </c>
      <c r="K54" t="str">
        <f t="shared" si="2"/>
        <v>0.66</v>
      </c>
    </row>
    <row r="55" spans="1:11" x14ac:dyDescent="0.3">
      <c r="A55">
        <v>31</v>
      </c>
      <c r="B55">
        <v>19.591940245416598</v>
      </c>
      <c r="C55">
        <v>87</v>
      </c>
      <c r="D55">
        <v>128</v>
      </c>
      <c r="E55">
        <v>0</v>
      </c>
      <c r="F55">
        <v>1</v>
      </c>
      <c r="G55">
        <v>1</v>
      </c>
      <c r="H55">
        <f>IF(OR(A55&lt;18, A55&gt;40, B55&gt;=30), 1, 0)</f>
        <v>0</v>
      </c>
      <c r="I55">
        <f t="shared" si="0"/>
        <v>1</v>
      </c>
      <c r="J55">
        <f t="shared" si="1"/>
        <v>1</v>
      </c>
      <c r="K55" t="str">
        <f t="shared" si="2"/>
        <v>0.66</v>
      </c>
    </row>
    <row r="56" spans="1:11" x14ac:dyDescent="0.3">
      <c r="A56">
        <v>20</v>
      </c>
      <c r="B56">
        <v>29.687396956452901</v>
      </c>
      <c r="C56">
        <v>82</v>
      </c>
      <c r="D56">
        <v>121</v>
      </c>
      <c r="E56">
        <v>1</v>
      </c>
      <c r="F56">
        <v>0</v>
      </c>
      <c r="G56">
        <v>1</v>
      </c>
      <c r="H56">
        <f>IF(OR(A56&lt;18, A56&gt;40, B56&gt;=30), 1, 0)</f>
        <v>0</v>
      </c>
      <c r="I56">
        <f t="shared" si="0"/>
        <v>1</v>
      </c>
      <c r="J56">
        <f t="shared" si="1"/>
        <v>1</v>
      </c>
      <c r="K56" t="str">
        <f t="shared" si="2"/>
        <v>0.66</v>
      </c>
    </row>
    <row r="57" spans="1:11" x14ac:dyDescent="0.3">
      <c r="A57">
        <v>25</v>
      </c>
      <c r="B57">
        <v>24.847430827511101</v>
      </c>
      <c r="C57">
        <v>71</v>
      </c>
      <c r="D57">
        <v>125</v>
      </c>
      <c r="E57">
        <v>1</v>
      </c>
      <c r="F57">
        <v>0</v>
      </c>
      <c r="G57">
        <v>0</v>
      </c>
      <c r="H57">
        <f>IF(OR(A57&lt;18, A57&gt;40, B57&gt;=30), 1, 0)</f>
        <v>0</v>
      </c>
      <c r="I57">
        <f t="shared" si="0"/>
        <v>1</v>
      </c>
      <c r="J57">
        <f t="shared" si="1"/>
        <v>1</v>
      </c>
      <c r="K57" t="str">
        <f t="shared" si="2"/>
        <v>0.66</v>
      </c>
    </row>
    <row r="58" spans="1:11" x14ac:dyDescent="0.3">
      <c r="A58">
        <v>33</v>
      </c>
      <c r="B58">
        <v>33.953070705887797</v>
      </c>
      <c r="C58">
        <v>74</v>
      </c>
      <c r="D58">
        <v>129</v>
      </c>
      <c r="E58">
        <v>0</v>
      </c>
      <c r="F58">
        <v>1</v>
      </c>
      <c r="G58">
        <v>1</v>
      </c>
      <c r="H58">
        <f>IF(OR(A58&lt;18, A58&gt;40, B58&gt;=30), 1, 0)</f>
        <v>1</v>
      </c>
      <c r="I58">
        <f t="shared" si="0"/>
        <v>1</v>
      </c>
      <c r="J58">
        <f t="shared" si="1"/>
        <v>1</v>
      </c>
      <c r="K58" t="str">
        <f t="shared" si="2"/>
        <v>0.99</v>
      </c>
    </row>
    <row r="59" spans="1:11" x14ac:dyDescent="0.3">
      <c r="A59">
        <v>34</v>
      </c>
      <c r="B59">
        <v>27.395999423463</v>
      </c>
      <c r="C59">
        <v>71</v>
      </c>
      <c r="D59">
        <v>130</v>
      </c>
      <c r="E59">
        <v>0</v>
      </c>
      <c r="F59">
        <v>1</v>
      </c>
      <c r="G59">
        <v>0</v>
      </c>
      <c r="H59">
        <f>IF(OR(A59&lt;18, A59&gt;40, B59&gt;=30), 1, 0)</f>
        <v>0</v>
      </c>
      <c r="I59">
        <f t="shared" si="0"/>
        <v>1</v>
      </c>
      <c r="J59">
        <f t="shared" si="1"/>
        <v>1</v>
      </c>
      <c r="K59" t="str">
        <f t="shared" si="2"/>
        <v>0.66</v>
      </c>
    </row>
    <row r="60" spans="1:11" x14ac:dyDescent="0.3">
      <c r="A60">
        <v>23</v>
      </c>
      <c r="B60">
        <v>21.260003611044201</v>
      </c>
      <c r="C60">
        <v>86</v>
      </c>
      <c r="D60">
        <v>134</v>
      </c>
      <c r="E60">
        <v>1</v>
      </c>
      <c r="F60">
        <v>1</v>
      </c>
      <c r="G60">
        <v>0</v>
      </c>
      <c r="H60">
        <f>IF(OR(A60&lt;18, A60&gt;40, B60&gt;=30), 1, 0)</f>
        <v>0</v>
      </c>
      <c r="I60">
        <f t="shared" si="0"/>
        <v>1</v>
      </c>
      <c r="J60">
        <f t="shared" si="1"/>
        <v>1</v>
      </c>
      <c r="K60" t="str">
        <f t="shared" si="2"/>
        <v>0.66</v>
      </c>
    </row>
    <row r="61" spans="1:11" x14ac:dyDescent="0.3">
      <c r="A61">
        <v>32</v>
      </c>
      <c r="B61">
        <v>20.352690705244498</v>
      </c>
      <c r="C61">
        <v>81</v>
      </c>
      <c r="D61">
        <v>136</v>
      </c>
      <c r="E61">
        <v>0</v>
      </c>
      <c r="F61">
        <v>0</v>
      </c>
      <c r="G61">
        <v>0</v>
      </c>
      <c r="H61">
        <f>IF(OR(A61&lt;18, A61&gt;40, B61&gt;=30), 1, 0)</f>
        <v>0</v>
      </c>
      <c r="I61">
        <f t="shared" si="0"/>
        <v>0</v>
      </c>
      <c r="J61">
        <f t="shared" si="1"/>
        <v>1</v>
      </c>
      <c r="K61" t="str">
        <f t="shared" si="2"/>
        <v>0.33</v>
      </c>
    </row>
    <row r="62" spans="1:11" x14ac:dyDescent="0.3">
      <c r="A62">
        <v>27</v>
      </c>
      <c r="B62">
        <v>19.3766508211923</v>
      </c>
      <c r="C62">
        <v>85</v>
      </c>
      <c r="D62">
        <v>120</v>
      </c>
      <c r="E62">
        <v>1</v>
      </c>
      <c r="F62">
        <v>0</v>
      </c>
      <c r="G62">
        <v>1</v>
      </c>
      <c r="H62">
        <f>IF(OR(A62&lt;18, A62&gt;40, B62&gt;=30), 1, 0)</f>
        <v>0</v>
      </c>
      <c r="I62">
        <f t="shared" si="0"/>
        <v>1</v>
      </c>
      <c r="J62">
        <f t="shared" si="1"/>
        <v>1</v>
      </c>
      <c r="K62" t="str">
        <f t="shared" si="2"/>
        <v>0.66</v>
      </c>
    </row>
    <row r="63" spans="1:11" x14ac:dyDescent="0.3">
      <c r="A63">
        <v>20</v>
      </c>
      <c r="B63">
        <v>32.012033689786897</v>
      </c>
      <c r="C63">
        <v>72</v>
      </c>
      <c r="D63">
        <v>135</v>
      </c>
      <c r="E63">
        <v>1</v>
      </c>
      <c r="F63">
        <v>0</v>
      </c>
      <c r="G63">
        <v>0</v>
      </c>
      <c r="H63">
        <f>IF(OR(A63&lt;18, A63&gt;40, B63&gt;=30), 1, 0)</f>
        <v>1</v>
      </c>
      <c r="I63">
        <f t="shared" si="0"/>
        <v>1</v>
      </c>
      <c r="J63">
        <f t="shared" si="1"/>
        <v>1</v>
      </c>
      <c r="K63" t="str">
        <f t="shared" si="2"/>
        <v>0.99</v>
      </c>
    </row>
    <row r="64" spans="1:11" x14ac:dyDescent="0.3">
      <c r="A64">
        <v>32</v>
      </c>
      <c r="B64">
        <v>19.5536397918668</v>
      </c>
      <c r="C64">
        <v>76</v>
      </c>
      <c r="D64">
        <v>123</v>
      </c>
      <c r="E64">
        <v>0</v>
      </c>
      <c r="F64">
        <v>1</v>
      </c>
      <c r="G64">
        <v>0</v>
      </c>
      <c r="H64">
        <f>IF(OR(A64&lt;18, A64&gt;40, B64&gt;=30), 1, 0)</f>
        <v>0</v>
      </c>
      <c r="I64">
        <f t="shared" si="0"/>
        <v>1</v>
      </c>
      <c r="J64">
        <f t="shared" si="1"/>
        <v>1</v>
      </c>
      <c r="K64" t="str">
        <f t="shared" si="2"/>
        <v>0.66</v>
      </c>
    </row>
    <row r="65" spans="1:11" x14ac:dyDescent="0.3">
      <c r="A65">
        <v>19</v>
      </c>
      <c r="B65">
        <v>24.298855706553301</v>
      </c>
      <c r="C65">
        <v>87</v>
      </c>
      <c r="D65">
        <v>138</v>
      </c>
      <c r="E65">
        <v>0</v>
      </c>
      <c r="F65">
        <v>0</v>
      </c>
      <c r="G65">
        <v>1</v>
      </c>
      <c r="H65">
        <f>IF(OR(A65&lt;18, A65&gt;40, B65&gt;=30), 1, 0)</f>
        <v>0</v>
      </c>
      <c r="I65">
        <f t="shared" si="0"/>
        <v>1</v>
      </c>
      <c r="J65">
        <f t="shared" si="1"/>
        <v>1</v>
      </c>
      <c r="K65" t="str">
        <f t="shared" si="2"/>
        <v>0.66</v>
      </c>
    </row>
    <row r="66" spans="1:11" x14ac:dyDescent="0.3">
      <c r="A66">
        <v>19</v>
      </c>
      <c r="B66">
        <v>32.796478363935002</v>
      </c>
      <c r="C66">
        <v>82</v>
      </c>
      <c r="D66">
        <v>122</v>
      </c>
      <c r="E66">
        <v>0</v>
      </c>
      <c r="F66">
        <v>1</v>
      </c>
      <c r="G66">
        <v>0</v>
      </c>
      <c r="H66">
        <f>IF(OR(A66&lt;18, A66&gt;40, B66&gt;=30), 1, 0)</f>
        <v>1</v>
      </c>
      <c r="I66">
        <f t="shared" si="0"/>
        <v>1</v>
      </c>
      <c r="J66">
        <f t="shared" si="1"/>
        <v>1</v>
      </c>
      <c r="K66" t="str">
        <f t="shared" si="2"/>
        <v>0.99</v>
      </c>
    </row>
    <row r="67" spans="1:11" x14ac:dyDescent="0.3">
      <c r="A67">
        <v>20</v>
      </c>
      <c r="B67">
        <v>20.4848464640665</v>
      </c>
      <c r="C67">
        <v>78</v>
      </c>
      <c r="D67">
        <v>139</v>
      </c>
      <c r="E67">
        <v>0</v>
      </c>
      <c r="F67">
        <v>1</v>
      </c>
      <c r="G67">
        <v>1</v>
      </c>
      <c r="H67">
        <f>IF(OR(A67&lt;18, A67&gt;40, B67&gt;=30), 1, 0)</f>
        <v>0</v>
      </c>
      <c r="I67">
        <f t="shared" ref="I67:I130" si="3">IF(OR(E67=1, F67=1, G67=1), 1, 0)</f>
        <v>1</v>
      </c>
      <c r="J67">
        <f t="shared" ref="J67:J130" si="4">IF(OR(C67&gt;=140, D67&gt;=90), 1, 0)</f>
        <v>1</v>
      </c>
      <c r="K67" t="str">
        <f t="shared" ref="K67:K130" si="5">IF((H67+I67+J67)=3, "0.99", IF((H67+I67+J67)=2, "0.66", IF((H67+I67+J67)=1, "0.33", "0.0")))</f>
        <v>0.66</v>
      </c>
    </row>
    <row r="68" spans="1:11" x14ac:dyDescent="0.3">
      <c r="A68">
        <v>24</v>
      </c>
      <c r="B68">
        <v>26.6480020550832</v>
      </c>
      <c r="C68">
        <v>79</v>
      </c>
      <c r="D68">
        <v>131</v>
      </c>
      <c r="E68">
        <v>0</v>
      </c>
      <c r="F68">
        <v>1</v>
      </c>
      <c r="G68">
        <v>0</v>
      </c>
      <c r="H68">
        <f>IF(OR(A68&lt;18, A68&gt;40, B68&gt;=30), 1, 0)</f>
        <v>0</v>
      </c>
      <c r="I68">
        <f t="shared" si="3"/>
        <v>1</v>
      </c>
      <c r="J68">
        <f t="shared" si="4"/>
        <v>1</v>
      </c>
      <c r="K68" t="str">
        <f t="shared" si="5"/>
        <v>0.66</v>
      </c>
    </row>
    <row r="69" spans="1:11" x14ac:dyDescent="0.3">
      <c r="A69">
        <v>26</v>
      </c>
      <c r="B69">
        <v>25.729243296095898</v>
      </c>
      <c r="C69">
        <v>71</v>
      </c>
      <c r="D69">
        <v>128</v>
      </c>
      <c r="E69">
        <v>0</v>
      </c>
      <c r="F69">
        <v>1</v>
      </c>
      <c r="G69">
        <v>0</v>
      </c>
      <c r="H69">
        <f>IF(OR(A69&lt;18, A69&gt;40, B69&gt;=30), 1, 0)</f>
        <v>0</v>
      </c>
      <c r="I69">
        <f t="shared" si="3"/>
        <v>1</v>
      </c>
      <c r="J69">
        <f t="shared" si="4"/>
        <v>1</v>
      </c>
      <c r="K69" t="str">
        <f t="shared" si="5"/>
        <v>0.66</v>
      </c>
    </row>
    <row r="70" spans="1:11" x14ac:dyDescent="0.3">
      <c r="A70">
        <v>21</v>
      </c>
      <c r="B70">
        <v>26.120839040562199</v>
      </c>
      <c r="C70">
        <v>83</v>
      </c>
      <c r="D70">
        <v>137</v>
      </c>
      <c r="E70">
        <v>0</v>
      </c>
      <c r="F70">
        <v>0</v>
      </c>
      <c r="G70">
        <v>0</v>
      </c>
      <c r="H70">
        <f>IF(OR(A70&lt;18, A70&gt;40, B70&gt;=30), 1, 0)</f>
        <v>0</v>
      </c>
      <c r="I70">
        <f t="shared" si="3"/>
        <v>0</v>
      </c>
      <c r="J70">
        <f t="shared" si="4"/>
        <v>1</v>
      </c>
      <c r="K70" t="str">
        <f t="shared" si="5"/>
        <v>0.33</v>
      </c>
    </row>
    <row r="71" spans="1:11" x14ac:dyDescent="0.3">
      <c r="A71">
        <v>34</v>
      </c>
      <c r="B71">
        <v>30.498436443512499</v>
      </c>
      <c r="C71">
        <v>87</v>
      </c>
      <c r="D71">
        <v>135</v>
      </c>
      <c r="E71">
        <v>1</v>
      </c>
      <c r="F71">
        <v>0</v>
      </c>
      <c r="G71">
        <v>1</v>
      </c>
      <c r="H71">
        <f>IF(OR(A71&lt;18, A71&gt;40, B71&gt;=30), 1, 0)</f>
        <v>1</v>
      </c>
      <c r="I71">
        <f t="shared" si="3"/>
        <v>1</v>
      </c>
      <c r="J71">
        <f t="shared" si="4"/>
        <v>1</v>
      </c>
      <c r="K71" t="str">
        <f t="shared" si="5"/>
        <v>0.99</v>
      </c>
    </row>
    <row r="72" spans="1:11" x14ac:dyDescent="0.3">
      <c r="A72">
        <v>24</v>
      </c>
      <c r="B72">
        <v>26.481085573342199</v>
      </c>
      <c r="C72">
        <v>78</v>
      </c>
      <c r="D72">
        <v>121</v>
      </c>
      <c r="E72">
        <v>0</v>
      </c>
      <c r="F72">
        <v>0</v>
      </c>
      <c r="G72">
        <v>1</v>
      </c>
      <c r="H72">
        <f>IF(OR(A72&lt;18, A72&gt;40, B72&gt;=30), 1, 0)</f>
        <v>0</v>
      </c>
      <c r="I72">
        <f t="shared" si="3"/>
        <v>1</v>
      </c>
      <c r="J72">
        <f t="shared" si="4"/>
        <v>1</v>
      </c>
      <c r="K72" t="str">
        <f t="shared" si="5"/>
        <v>0.66</v>
      </c>
    </row>
    <row r="73" spans="1:11" x14ac:dyDescent="0.3">
      <c r="A73">
        <v>24</v>
      </c>
      <c r="B73">
        <v>24.758815786040099</v>
      </c>
      <c r="C73">
        <v>72</v>
      </c>
      <c r="D73">
        <v>136</v>
      </c>
      <c r="E73">
        <v>1</v>
      </c>
      <c r="F73">
        <v>1</v>
      </c>
      <c r="G73">
        <v>0</v>
      </c>
      <c r="H73">
        <f>IF(OR(A73&lt;18, A73&gt;40, B73&gt;=30), 1, 0)</f>
        <v>0</v>
      </c>
      <c r="I73">
        <f t="shared" si="3"/>
        <v>1</v>
      </c>
      <c r="J73">
        <f t="shared" si="4"/>
        <v>1</v>
      </c>
      <c r="K73" t="str">
        <f t="shared" si="5"/>
        <v>0.66</v>
      </c>
    </row>
    <row r="74" spans="1:11" x14ac:dyDescent="0.3">
      <c r="A74">
        <v>28</v>
      </c>
      <c r="B74">
        <v>22.6743909574767</v>
      </c>
      <c r="C74">
        <v>83</v>
      </c>
      <c r="D74">
        <v>128</v>
      </c>
      <c r="E74">
        <v>0</v>
      </c>
      <c r="F74">
        <v>1</v>
      </c>
      <c r="G74">
        <v>1</v>
      </c>
      <c r="H74">
        <f>IF(OR(A74&lt;18, A74&gt;40, B74&gt;=30), 1, 0)</f>
        <v>0</v>
      </c>
      <c r="I74">
        <f t="shared" si="3"/>
        <v>1</v>
      </c>
      <c r="J74">
        <f t="shared" si="4"/>
        <v>1</v>
      </c>
      <c r="K74" t="str">
        <f t="shared" si="5"/>
        <v>0.66</v>
      </c>
    </row>
    <row r="75" spans="1:11" x14ac:dyDescent="0.3">
      <c r="A75">
        <v>22</v>
      </c>
      <c r="B75">
        <v>29.321550638388</v>
      </c>
      <c r="C75">
        <v>75</v>
      </c>
      <c r="D75">
        <v>122</v>
      </c>
      <c r="E75">
        <v>0</v>
      </c>
      <c r="F75">
        <v>1</v>
      </c>
      <c r="G75">
        <v>0</v>
      </c>
      <c r="H75">
        <f>IF(OR(A75&lt;18, A75&gt;40, B75&gt;=30), 1, 0)</f>
        <v>0</v>
      </c>
      <c r="I75">
        <f t="shared" si="3"/>
        <v>1</v>
      </c>
      <c r="J75">
        <f t="shared" si="4"/>
        <v>1</v>
      </c>
      <c r="K75" t="str">
        <f t="shared" si="5"/>
        <v>0.66</v>
      </c>
    </row>
    <row r="76" spans="1:11" x14ac:dyDescent="0.3">
      <c r="A76">
        <v>33</v>
      </c>
      <c r="B76">
        <v>18.035965424210701</v>
      </c>
      <c r="C76">
        <v>82</v>
      </c>
      <c r="D76">
        <v>126</v>
      </c>
      <c r="E76">
        <v>0</v>
      </c>
      <c r="F76">
        <v>0</v>
      </c>
      <c r="G76">
        <v>1</v>
      </c>
      <c r="H76">
        <f>IF(OR(A76&lt;18, A76&gt;40, B76&gt;=30), 1, 0)</f>
        <v>0</v>
      </c>
      <c r="I76">
        <f t="shared" si="3"/>
        <v>1</v>
      </c>
      <c r="J76">
        <f t="shared" si="4"/>
        <v>1</v>
      </c>
      <c r="K76" t="str">
        <f t="shared" si="5"/>
        <v>0.66</v>
      </c>
    </row>
    <row r="77" spans="1:11" x14ac:dyDescent="0.3">
      <c r="A77">
        <v>20</v>
      </c>
      <c r="B77">
        <v>34.076054281614702</v>
      </c>
      <c r="C77">
        <v>70</v>
      </c>
      <c r="D77">
        <v>132</v>
      </c>
      <c r="E77">
        <v>1</v>
      </c>
      <c r="F77">
        <v>1</v>
      </c>
      <c r="G77">
        <v>1</v>
      </c>
      <c r="H77">
        <f>IF(OR(A77&lt;18, A77&gt;40, B77&gt;=30), 1, 0)</f>
        <v>1</v>
      </c>
      <c r="I77">
        <f t="shared" si="3"/>
        <v>1</v>
      </c>
      <c r="J77">
        <f t="shared" si="4"/>
        <v>1</v>
      </c>
      <c r="K77" t="str">
        <f t="shared" si="5"/>
        <v>0.99</v>
      </c>
    </row>
    <row r="78" spans="1:11" x14ac:dyDescent="0.3">
      <c r="A78">
        <v>31</v>
      </c>
      <c r="B78">
        <v>20.3313254869594</v>
      </c>
      <c r="C78">
        <v>87</v>
      </c>
      <c r="D78">
        <v>134</v>
      </c>
      <c r="E78">
        <v>1</v>
      </c>
      <c r="F78">
        <v>0</v>
      </c>
      <c r="G78">
        <v>1</v>
      </c>
      <c r="H78">
        <f>IF(OR(A78&lt;18, A78&gt;40, B78&gt;=30), 1, 0)</f>
        <v>0</v>
      </c>
      <c r="I78">
        <f t="shared" si="3"/>
        <v>1</v>
      </c>
      <c r="J78">
        <f t="shared" si="4"/>
        <v>1</v>
      </c>
      <c r="K78" t="str">
        <f t="shared" si="5"/>
        <v>0.66</v>
      </c>
    </row>
    <row r="79" spans="1:11" x14ac:dyDescent="0.3">
      <c r="A79">
        <v>33</v>
      </c>
      <c r="B79">
        <v>25.119102061393399</v>
      </c>
      <c r="C79">
        <v>83</v>
      </c>
      <c r="D79">
        <v>130</v>
      </c>
      <c r="E79">
        <v>1</v>
      </c>
      <c r="F79">
        <v>0</v>
      </c>
      <c r="G79">
        <v>1</v>
      </c>
      <c r="H79">
        <f>IF(OR(A79&lt;18, A79&gt;40, B79&gt;=30), 1, 0)</f>
        <v>0</v>
      </c>
      <c r="I79">
        <f t="shared" si="3"/>
        <v>1</v>
      </c>
      <c r="J79">
        <f t="shared" si="4"/>
        <v>1</v>
      </c>
      <c r="K79" t="str">
        <f t="shared" si="5"/>
        <v>0.66</v>
      </c>
    </row>
    <row r="80" spans="1:11" x14ac:dyDescent="0.3">
      <c r="A80">
        <v>28</v>
      </c>
      <c r="B80">
        <v>19.2971397584828</v>
      </c>
      <c r="C80">
        <v>76</v>
      </c>
      <c r="D80">
        <v>138</v>
      </c>
      <c r="E80">
        <v>1</v>
      </c>
      <c r="F80">
        <v>1</v>
      </c>
      <c r="G80">
        <v>1</v>
      </c>
      <c r="H80">
        <f>IF(OR(A80&lt;18, A80&gt;40, B80&gt;=30), 1, 0)</f>
        <v>0</v>
      </c>
      <c r="I80">
        <f t="shared" si="3"/>
        <v>1</v>
      </c>
      <c r="J80">
        <f t="shared" si="4"/>
        <v>1</v>
      </c>
      <c r="K80" t="str">
        <f t="shared" si="5"/>
        <v>0.66</v>
      </c>
    </row>
    <row r="81" spans="1:11" x14ac:dyDescent="0.3">
      <c r="A81">
        <v>20</v>
      </c>
      <c r="B81">
        <v>21.201248812735599</v>
      </c>
      <c r="C81">
        <v>70</v>
      </c>
      <c r="D81">
        <v>131</v>
      </c>
      <c r="E81">
        <v>1</v>
      </c>
      <c r="F81">
        <v>0</v>
      </c>
      <c r="G81">
        <v>1</v>
      </c>
      <c r="H81">
        <f>IF(OR(A81&lt;18, A81&gt;40, B81&gt;=30), 1, 0)</f>
        <v>0</v>
      </c>
      <c r="I81">
        <f t="shared" si="3"/>
        <v>1</v>
      </c>
      <c r="J81">
        <f t="shared" si="4"/>
        <v>1</v>
      </c>
      <c r="K81" t="str">
        <f t="shared" si="5"/>
        <v>0.66</v>
      </c>
    </row>
    <row r="82" spans="1:11" x14ac:dyDescent="0.3">
      <c r="A82">
        <v>20</v>
      </c>
      <c r="B82">
        <v>18.1931614330665</v>
      </c>
      <c r="C82">
        <v>82</v>
      </c>
      <c r="D82">
        <v>126</v>
      </c>
      <c r="E82">
        <v>1</v>
      </c>
      <c r="F82">
        <v>0</v>
      </c>
      <c r="G82">
        <v>1</v>
      </c>
      <c r="H82">
        <f>IF(OR(A82&lt;18, A82&gt;40, B82&gt;=30), 1, 0)</f>
        <v>0</v>
      </c>
      <c r="I82">
        <f t="shared" si="3"/>
        <v>1</v>
      </c>
      <c r="J82">
        <f t="shared" si="4"/>
        <v>1</v>
      </c>
      <c r="K82" t="str">
        <f t="shared" si="5"/>
        <v>0.66</v>
      </c>
    </row>
    <row r="83" spans="1:11" x14ac:dyDescent="0.3">
      <c r="A83">
        <v>22</v>
      </c>
      <c r="B83">
        <v>22.569395732770602</v>
      </c>
      <c r="C83">
        <v>76</v>
      </c>
      <c r="D83">
        <v>132</v>
      </c>
      <c r="E83">
        <v>1</v>
      </c>
      <c r="F83">
        <v>0</v>
      </c>
      <c r="G83">
        <v>0</v>
      </c>
      <c r="H83">
        <f>IF(OR(A83&lt;18, A83&gt;40, B83&gt;=30), 1, 0)</f>
        <v>0</v>
      </c>
      <c r="I83">
        <f t="shared" si="3"/>
        <v>1</v>
      </c>
      <c r="J83">
        <f t="shared" si="4"/>
        <v>1</v>
      </c>
      <c r="K83" t="str">
        <f t="shared" si="5"/>
        <v>0.66</v>
      </c>
    </row>
    <row r="84" spans="1:11" x14ac:dyDescent="0.3">
      <c r="A84">
        <v>29</v>
      </c>
      <c r="B84">
        <v>30.938868752167998</v>
      </c>
      <c r="C84">
        <v>89</v>
      </c>
      <c r="D84">
        <v>129</v>
      </c>
      <c r="E84">
        <v>0</v>
      </c>
      <c r="F84">
        <v>1</v>
      </c>
      <c r="G84">
        <v>1</v>
      </c>
      <c r="H84">
        <f>IF(OR(A84&lt;18, A84&gt;40, B84&gt;=30), 1, 0)</f>
        <v>1</v>
      </c>
      <c r="I84">
        <f t="shared" si="3"/>
        <v>1</v>
      </c>
      <c r="J84">
        <f t="shared" si="4"/>
        <v>1</v>
      </c>
      <c r="K84" t="str">
        <f t="shared" si="5"/>
        <v>0.99</v>
      </c>
    </row>
    <row r="85" spans="1:11" x14ac:dyDescent="0.3">
      <c r="A85">
        <v>23</v>
      </c>
      <c r="B85">
        <v>30.041321799837899</v>
      </c>
      <c r="C85">
        <v>80</v>
      </c>
      <c r="D85">
        <v>130</v>
      </c>
      <c r="E85">
        <v>0</v>
      </c>
      <c r="F85">
        <v>0</v>
      </c>
      <c r="G85">
        <v>0</v>
      </c>
      <c r="H85">
        <f>IF(OR(A85&lt;18, A85&gt;40, B85&gt;=30), 1, 0)</f>
        <v>1</v>
      </c>
      <c r="I85">
        <f t="shared" si="3"/>
        <v>0</v>
      </c>
      <c r="J85">
        <f t="shared" si="4"/>
        <v>1</v>
      </c>
      <c r="K85" t="str">
        <f t="shared" si="5"/>
        <v>0.66</v>
      </c>
    </row>
    <row r="86" spans="1:11" x14ac:dyDescent="0.3">
      <c r="A86">
        <v>19</v>
      </c>
      <c r="B86">
        <v>19.850489155766301</v>
      </c>
      <c r="C86">
        <v>82</v>
      </c>
      <c r="D86">
        <v>135</v>
      </c>
      <c r="E86">
        <v>1</v>
      </c>
      <c r="F86">
        <v>1</v>
      </c>
      <c r="G86">
        <v>0</v>
      </c>
      <c r="H86">
        <f>IF(OR(A86&lt;18, A86&gt;40, B86&gt;=30), 1, 0)</f>
        <v>0</v>
      </c>
      <c r="I86">
        <f t="shared" si="3"/>
        <v>1</v>
      </c>
      <c r="J86">
        <f t="shared" si="4"/>
        <v>1</v>
      </c>
      <c r="K86" t="str">
        <f t="shared" si="5"/>
        <v>0.66</v>
      </c>
    </row>
    <row r="87" spans="1:11" x14ac:dyDescent="0.3">
      <c r="A87">
        <v>30</v>
      </c>
      <c r="B87">
        <v>25.226578162513501</v>
      </c>
      <c r="C87">
        <v>77</v>
      </c>
      <c r="D87">
        <v>126</v>
      </c>
      <c r="E87">
        <v>0</v>
      </c>
      <c r="F87">
        <v>0</v>
      </c>
      <c r="G87">
        <v>0</v>
      </c>
      <c r="H87">
        <f>IF(OR(A87&lt;18, A87&gt;40, B87&gt;=30), 1, 0)</f>
        <v>0</v>
      </c>
      <c r="I87">
        <f t="shared" si="3"/>
        <v>0</v>
      </c>
      <c r="J87">
        <f t="shared" si="4"/>
        <v>1</v>
      </c>
      <c r="K87" t="str">
        <f t="shared" si="5"/>
        <v>0.33</v>
      </c>
    </row>
    <row r="88" spans="1:11" x14ac:dyDescent="0.3">
      <c r="A88">
        <v>25</v>
      </c>
      <c r="B88">
        <v>31.243329938594499</v>
      </c>
      <c r="C88">
        <v>88</v>
      </c>
      <c r="D88">
        <v>124</v>
      </c>
      <c r="E88">
        <v>1</v>
      </c>
      <c r="F88">
        <v>1</v>
      </c>
      <c r="G88">
        <v>0</v>
      </c>
      <c r="H88">
        <f>IF(OR(A88&lt;18, A88&gt;40, B88&gt;=30), 1, 0)</f>
        <v>1</v>
      </c>
      <c r="I88">
        <f t="shared" si="3"/>
        <v>1</v>
      </c>
      <c r="J88">
        <f t="shared" si="4"/>
        <v>1</v>
      </c>
      <c r="K88" t="str">
        <f t="shared" si="5"/>
        <v>0.99</v>
      </c>
    </row>
    <row r="89" spans="1:11" x14ac:dyDescent="0.3">
      <c r="A89">
        <v>29</v>
      </c>
      <c r="B89">
        <v>30.0454470882446</v>
      </c>
      <c r="C89">
        <v>71</v>
      </c>
      <c r="D89">
        <v>127</v>
      </c>
      <c r="E89">
        <v>0</v>
      </c>
      <c r="F89">
        <v>0</v>
      </c>
      <c r="G89">
        <v>0</v>
      </c>
      <c r="H89">
        <f>IF(OR(A89&lt;18, A89&gt;40, B89&gt;=30), 1, 0)</f>
        <v>1</v>
      </c>
      <c r="I89">
        <f t="shared" si="3"/>
        <v>0</v>
      </c>
      <c r="J89">
        <f t="shared" si="4"/>
        <v>1</v>
      </c>
      <c r="K89" t="str">
        <f t="shared" si="5"/>
        <v>0.66</v>
      </c>
    </row>
    <row r="90" spans="1:11" x14ac:dyDescent="0.3">
      <c r="A90">
        <v>18</v>
      </c>
      <c r="B90">
        <v>18.9256734108655</v>
      </c>
      <c r="C90">
        <v>83</v>
      </c>
      <c r="D90">
        <v>123</v>
      </c>
      <c r="E90">
        <v>0</v>
      </c>
      <c r="F90">
        <v>1</v>
      </c>
      <c r="G90">
        <v>1</v>
      </c>
      <c r="H90">
        <f>IF(OR(A90&lt;18, A90&gt;40, B90&gt;=30), 1, 0)</f>
        <v>0</v>
      </c>
      <c r="I90">
        <f t="shared" si="3"/>
        <v>1</v>
      </c>
      <c r="J90">
        <f t="shared" si="4"/>
        <v>1</v>
      </c>
      <c r="K90" t="str">
        <f t="shared" si="5"/>
        <v>0.66</v>
      </c>
    </row>
    <row r="91" spans="1:11" x14ac:dyDescent="0.3">
      <c r="A91">
        <v>31</v>
      </c>
      <c r="B91">
        <v>25.9837724508495</v>
      </c>
      <c r="C91">
        <v>89</v>
      </c>
      <c r="D91">
        <v>120</v>
      </c>
      <c r="E91">
        <v>1</v>
      </c>
      <c r="F91">
        <v>1</v>
      </c>
      <c r="G91">
        <v>0</v>
      </c>
      <c r="H91">
        <f>IF(OR(A91&lt;18, A91&gt;40, B91&gt;=30), 1, 0)</f>
        <v>0</v>
      </c>
      <c r="I91">
        <f t="shared" si="3"/>
        <v>1</v>
      </c>
      <c r="J91">
        <f t="shared" si="4"/>
        <v>1</v>
      </c>
      <c r="K91" t="str">
        <f t="shared" si="5"/>
        <v>0.66</v>
      </c>
    </row>
    <row r="92" spans="1:11" x14ac:dyDescent="0.3">
      <c r="A92">
        <v>18</v>
      </c>
      <c r="B92">
        <v>18.9356090314099</v>
      </c>
      <c r="C92">
        <v>89</v>
      </c>
      <c r="D92">
        <v>121</v>
      </c>
      <c r="E92">
        <v>1</v>
      </c>
      <c r="F92">
        <v>0</v>
      </c>
      <c r="G92">
        <v>1</v>
      </c>
      <c r="H92">
        <f>IF(OR(A92&lt;18, A92&gt;40, B92&gt;=30), 1, 0)</f>
        <v>0</v>
      </c>
      <c r="I92">
        <f t="shared" si="3"/>
        <v>1</v>
      </c>
      <c r="J92">
        <f t="shared" si="4"/>
        <v>1</v>
      </c>
      <c r="K92" t="str">
        <f t="shared" si="5"/>
        <v>0.66</v>
      </c>
    </row>
    <row r="93" spans="1:11" x14ac:dyDescent="0.3">
      <c r="A93">
        <v>23</v>
      </c>
      <c r="B93">
        <v>24.375395096186502</v>
      </c>
      <c r="C93">
        <v>70</v>
      </c>
      <c r="D93">
        <v>135</v>
      </c>
      <c r="E93">
        <v>0</v>
      </c>
      <c r="F93">
        <v>1</v>
      </c>
      <c r="G93">
        <v>1</v>
      </c>
      <c r="H93">
        <f>IF(OR(A93&lt;18, A93&gt;40, B93&gt;=30), 1, 0)</f>
        <v>0</v>
      </c>
      <c r="I93">
        <f t="shared" si="3"/>
        <v>1</v>
      </c>
      <c r="J93">
        <f t="shared" si="4"/>
        <v>1</v>
      </c>
      <c r="K93" t="str">
        <f t="shared" si="5"/>
        <v>0.66</v>
      </c>
    </row>
    <row r="94" spans="1:11" x14ac:dyDescent="0.3">
      <c r="A94">
        <v>21</v>
      </c>
      <c r="B94">
        <v>26.1114067890007</v>
      </c>
      <c r="C94">
        <v>79</v>
      </c>
      <c r="D94">
        <v>135</v>
      </c>
      <c r="E94">
        <v>1</v>
      </c>
      <c r="F94">
        <v>1</v>
      </c>
      <c r="G94">
        <v>1</v>
      </c>
      <c r="H94">
        <f>IF(OR(A94&lt;18, A94&gt;40, B94&gt;=30), 1, 0)</f>
        <v>0</v>
      </c>
      <c r="I94">
        <f t="shared" si="3"/>
        <v>1</v>
      </c>
      <c r="J94">
        <f t="shared" si="4"/>
        <v>1</v>
      </c>
      <c r="K94" t="str">
        <f t="shared" si="5"/>
        <v>0.66</v>
      </c>
    </row>
    <row r="95" spans="1:11" x14ac:dyDescent="0.3">
      <c r="A95">
        <v>26</v>
      </c>
      <c r="B95">
        <v>30.8755091493517</v>
      </c>
      <c r="C95">
        <v>82</v>
      </c>
      <c r="D95">
        <v>123</v>
      </c>
      <c r="E95">
        <v>1</v>
      </c>
      <c r="F95">
        <v>1</v>
      </c>
      <c r="G95">
        <v>1</v>
      </c>
      <c r="H95">
        <f>IF(OR(A95&lt;18, A95&gt;40, B95&gt;=30), 1, 0)</f>
        <v>1</v>
      </c>
      <c r="I95">
        <f t="shared" si="3"/>
        <v>1</v>
      </c>
      <c r="J95">
        <f t="shared" si="4"/>
        <v>1</v>
      </c>
      <c r="K95" t="str">
        <f t="shared" si="5"/>
        <v>0.99</v>
      </c>
    </row>
    <row r="96" spans="1:11" x14ac:dyDescent="0.3">
      <c r="A96">
        <v>21</v>
      </c>
      <c r="B96">
        <v>25.1639148871818</v>
      </c>
      <c r="C96">
        <v>79</v>
      </c>
      <c r="D96">
        <v>138</v>
      </c>
      <c r="E96">
        <v>1</v>
      </c>
      <c r="F96">
        <v>0</v>
      </c>
      <c r="G96">
        <v>1</v>
      </c>
      <c r="H96">
        <f>IF(OR(A96&lt;18, A96&gt;40, B96&gt;=30), 1, 0)</f>
        <v>0</v>
      </c>
      <c r="I96">
        <f t="shared" si="3"/>
        <v>1</v>
      </c>
      <c r="J96">
        <f t="shared" si="4"/>
        <v>1</v>
      </c>
      <c r="K96" t="str">
        <f t="shared" si="5"/>
        <v>0.66</v>
      </c>
    </row>
    <row r="97" spans="1:11" x14ac:dyDescent="0.3">
      <c r="A97">
        <v>34</v>
      </c>
      <c r="B97">
        <v>32.751709823398201</v>
      </c>
      <c r="C97">
        <v>75</v>
      </c>
      <c r="D97">
        <v>125</v>
      </c>
      <c r="E97">
        <v>0</v>
      </c>
      <c r="F97">
        <v>1</v>
      </c>
      <c r="G97">
        <v>0</v>
      </c>
      <c r="H97">
        <f>IF(OR(A97&lt;18, A97&gt;40, B97&gt;=30), 1, 0)</f>
        <v>1</v>
      </c>
      <c r="I97">
        <f t="shared" si="3"/>
        <v>1</v>
      </c>
      <c r="J97">
        <f t="shared" si="4"/>
        <v>1</v>
      </c>
      <c r="K97" t="str">
        <f t="shared" si="5"/>
        <v>0.99</v>
      </c>
    </row>
    <row r="98" spans="1:11" x14ac:dyDescent="0.3">
      <c r="A98">
        <v>27</v>
      </c>
      <c r="B98">
        <v>19.399868081271102</v>
      </c>
      <c r="C98">
        <v>76</v>
      </c>
      <c r="D98">
        <v>130</v>
      </c>
      <c r="E98">
        <v>1</v>
      </c>
      <c r="F98">
        <v>1</v>
      </c>
      <c r="G98">
        <v>0</v>
      </c>
      <c r="H98">
        <f>IF(OR(A98&lt;18, A98&gt;40, B98&gt;=30), 1, 0)</f>
        <v>0</v>
      </c>
      <c r="I98">
        <f t="shared" si="3"/>
        <v>1</v>
      </c>
      <c r="J98">
        <f t="shared" si="4"/>
        <v>1</v>
      </c>
      <c r="K98" t="str">
        <f t="shared" si="5"/>
        <v>0.66</v>
      </c>
    </row>
    <row r="99" spans="1:11" x14ac:dyDescent="0.3">
      <c r="A99">
        <v>26</v>
      </c>
      <c r="B99">
        <v>30.660775135954101</v>
      </c>
      <c r="C99">
        <v>79</v>
      </c>
      <c r="D99">
        <v>127</v>
      </c>
      <c r="E99">
        <v>0</v>
      </c>
      <c r="F99">
        <v>1</v>
      </c>
      <c r="G99">
        <v>1</v>
      </c>
      <c r="H99">
        <f>IF(OR(A99&lt;18, A99&gt;40, B99&gt;=30), 1, 0)</f>
        <v>1</v>
      </c>
      <c r="I99">
        <f t="shared" si="3"/>
        <v>1</v>
      </c>
      <c r="J99">
        <f t="shared" si="4"/>
        <v>1</v>
      </c>
      <c r="K99" t="str">
        <f t="shared" si="5"/>
        <v>0.99</v>
      </c>
    </row>
    <row r="100" spans="1:11" x14ac:dyDescent="0.3">
      <c r="A100">
        <v>27</v>
      </c>
      <c r="B100">
        <v>29.6151332162068</v>
      </c>
      <c r="C100">
        <v>84</v>
      </c>
      <c r="D100">
        <v>123</v>
      </c>
      <c r="E100">
        <v>0</v>
      </c>
      <c r="F100">
        <v>1</v>
      </c>
      <c r="G100">
        <v>0</v>
      </c>
      <c r="H100">
        <f>IF(OR(A100&lt;18, A100&gt;40, B100&gt;=30), 1, 0)</f>
        <v>0</v>
      </c>
      <c r="I100">
        <f t="shared" si="3"/>
        <v>1</v>
      </c>
      <c r="J100">
        <f t="shared" si="4"/>
        <v>1</v>
      </c>
      <c r="K100" t="str">
        <f t="shared" si="5"/>
        <v>0.66</v>
      </c>
    </row>
    <row r="101" spans="1:11" x14ac:dyDescent="0.3">
      <c r="A101">
        <v>31</v>
      </c>
      <c r="B101">
        <v>23.093579784400902</v>
      </c>
      <c r="C101">
        <v>78</v>
      </c>
      <c r="D101">
        <v>135</v>
      </c>
      <c r="E101">
        <v>1</v>
      </c>
      <c r="F101">
        <v>0</v>
      </c>
      <c r="G101">
        <v>0</v>
      </c>
      <c r="H101">
        <f>IF(OR(A101&lt;18, A101&gt;40, B101&gt;=30), 1, 0)</f>
        <v>0</v>
      </c>
      <c r="I101">
        <f t="shared" si="3"/>
        <v>1</v>
      </c>
      <c r="J101">
        <f t="shared" si="4"/>
        <v>1</v>
      </c>
      <c r="K101" t="str">
        <f t="shared" si="5"/>
        <v>0.66</v>
      </c>
    </row>
    <row r="102" spans="1:11" x14ac:dyDescent="0.3">
      <c r="A102">
        <v>32</v>
      </c>
      <c r="B102">
        <v>28.128132861851</v>
      </c>
      <c r="C102">
        <v>77</v>
      </c>
      <c r="D102">
        <v>131</v>
      </c>
      <c r="E102">
        <v>1</v>
      </c>
      <c r="F102">
        <v>1</v>
      </c>
      <c r="G102">
        <v>1</v>
      </c>
      <c r="H102">
        <f>IF(OR(A102&lt;18, A102&gt;40, B102&gt;=30), 1, 0)</f>
        <v>0</v>
      </c>
      <c r="I102">
        <f t="shared" si="3"/>
        <v>1</v>
      </c>
      <c r="J102">
        <f t="shared" si="4"/>
        <v>1</v>
      </c>
      <c r="K102" t="str">
        <f t="shared" si="5"/>
        <v>0.66</v>
      </c>
    </row>
    <row r="103" spans="1:11" x14ac:dyDescent="0.3">
      <c r="A103">
        <v>23</v>
      </c>
      <c r="B103">
        <v>21.022574828605499</v>
      </c>
      <c r="C103">
        <v>76</v>
      </c>
      <c r="D103">
        <v>131</v>
      </c>
      <c r="E103">
        <v>0</v>
      </c>
      <c r="F103">
        <v>1</v>
      </c>
      <c r="G103">
        <v>0</v>
      </c>
      <c r="H103">
        <f>IF(OR(A103&lt;18, A103&gt;40, B103&gt;=30), 1, 0)</f>
        <v>0</v>
      </c>
      <c r="I103">
        <f t="shared" si="3"/>
        <v>1</v>
      </c>
      <c r="J103">
        <f t="shared" si="4"/>
        <v>1</v>
      </c>
      <c r="K103" t="str">
        <f t="shared" si="5"/>
        <v>0.66</v>
      </c>
    </row>
    <row r="104" spans="1:11" x14ac:dyDescent="0.3">
      <c r="A104">
        <v>23</v>
      </c>
      <c r="B104">
        <v>28.903079851865598</v>
      </c>
      <c r="C104">
        <v>80</v>
      </c>
      <c r="D104">
        <v>136</v>
      </c>
      <c r="E104">
        <v>1</v>
      </c>
      <c r="F104">
        <v>1</v>
      </c>
      <c r="G104">
        <v>0</v>
      </c>
      <c r="H104">
        <f>IF(OR(A104&lt;18, A104&gt;40, B104&gt;=30), 1, 0)</f>
        <v>0</v>
      </c>
      <c r="I104">
        <f t="shared" si="3"/>
        <v>1</v>
      </c>
      <c r="J104">
        <f t="shared" si="4"/>
        <v>1</v>
      </c>
      <c r="K104" t="str">
        <f t="shared" si="5"/>
        <v>0.66</v>
      </c>
    </row>
    <row r="105" spans="1:11" x14ac:dyDescent="0.3">
      <c r="A105">
        <v>18</v>
      </c>
      <c r="B105">
        <v>27.698246094883402</v>
      </c>
      <c r="C105">
        <v>79</v>
      </c>
      <c r="D105">
        <v>125</v>
      </c>
      <c r="E105">
        <v>1</v>
      </c>
      <c r="F105">
        <v>0</v>
      </c>
      <c r="G105">
        <v>1</v>
      </c>
      <c r="H105">
        <f>IF(OR(A105&lt;18, A105&gt;40, B105&gt;=30), 1, 0)</f>
        <v>0</v>
      </c>
      <c r="I105">
        <f t="shared" si="3"/>
        <v>1</v>
      </c>
      <c r="J105">
        <f t="shared" si="4"/>
        <v>1</v>
      </c>
      <c r="K105" t="str">
        <f t="shared" si="5"/>
        <v>0.66</v>
      </c>
    </row>
    <row r="106" spans="1:11" x14ac:dyDescent="0.3">
      <c r="A106">
        <v>18</v>
      </c>
      <c r="B106">
        <v>29.1911622924877</v>
      </c>
      <c r="C106">
        <v>81</v>
      </c>
      <c r="D106">
        <v>138</v>
      </c>
      <c r="E106">
        <v>1</v>
      </c>
      <c r="F106">
        <v>0</v>
      </c>
      <c r="G106">
        <v>1</v>
      </c>
      <c r="H106">
        <f>IF(OR(A106&lt;18, A106&gt;40, B106&gt;=30), 1, 0)</f>
        <v>0</v>
      </c>
      <c r="I106">
        <f t="shared" si="3"/>
        <v>1</v>
      </c>
      <c r="J106">
        <f t="shared" si="4"/>
        <v>1</v>
      </c>
      <c r="K106" t="str">
        <f t="shared" si="5"/>
        <v>0.66</v>
      </c>
    </row>
    <row r="107" spans="1:11" x14ac:dyDescent="0.3">
      <c r="A107">
        <v>34</v>
      </c>
      <c r="B107">
        <v>26.937610463019901</v>
      </c>
      <c r="C107">
        <v>89</v>
      </c>
      <c r="D107">
        <v>130</v>
      </c>
      <c r="E107">
        <v>0</v>
      </c>
      <c r="F107">
        <v>1</v>
      </c>
      <c r="G107">
        <v>1</v>
      </c>
      <c r="H107">
        <f>IF(OR(A107&lt;18, A107&gt;40, B107&gt;=30), 1, 0)</f>
        <v>0</v>
      </c>
      <c r="I107">
        <f t="shared" si="3"/>
        <v>1</v>
      </c>
      <c r="J107">
        <f t="shared" si="4"/>
        <v>1</v>
      </c>
      <c r="K107" t="str">
        <f t="shared" si="5"/>
        <v>0.66</v>
      </c>
    </row>
    <row r="108" spans="1:11" x14ac:dyDescent="0.3">
      <c r="A108">
        <v>25</v>
      </c>
      <c r="B108">
        <v>26.559888709219099</v>
      </c>
      <c r="C108">
        <v>73</v>
      </c>
      <c r="D108">
        <v>120</v>
      </c>
      <c r="E108">
        <v>0</v>
      </c>
      <c r="F108">
        <v>0</v>
      </c>
      <c r="G108">
        <v>0</v>
      </c>
      <c r="H108">
        <f>IF(OR(A108&lt;18, A108&gt;40, B108&gt;=30), 1, 0)</f>
        <v>0</v>
      </c>
      <c r="I108">
        <f t="shared" si="3"/>
        <v>0</v>
      </c>
      <c r="J108">
        <f t="shared" si="4"/>
        <v>1</v>
      </c>
      <c r="K108" t="str">
        <f t="shared" si="5"/>
        <v>0.33</v>
      </c>
    </row>
    <row r="109" spans="1:11" x14ac:dyDescent="0.3">
      <c r="A109">
        <v>22</v>
      </c>
      <c r="B109">
        <v>20.214338069731401</v>
      </c>
      <c r="C109">
        <v>74</v>
      </c>
      <c r="D109">
        <v>120</v>
      </c>
      <c r="E109">
        <v>0</v>
      </c>
      <c r="F109">
        <v>0</v>
      </c>
      <c r="G109">
        <v>0</v>
      </c>
      <c r="H109">
        <f>IF(OR(A109&lt;18, A109&gt;40, B109&gt;=30), 1, 0)</f>
        <v>0</v>
      </c>
      <c r="I109">
        <f t="shared" si="3"/>
        <v>0</v>
      </c>
      <c r="J109">
        <f t="shared" si="4"/>
        <v>1</v>
      </c>
      <c r="K109" t="str">
        <f t="shared" si="5"/>
        <v>0.33</v>
      </c>
    </row>
    <row r="110" spans="1:11" x14ac:dyDescent="0.3">
      <c r="A110">
        <v>31</v>
      </c>
      <c r="B110">
        <v>21.669968668040301</v>
      </c>
      <c r="C110">
        <v>75</v>
      </c>
      <c r="D110">
        <v>129</v>
      </c>
      <c r="E110">
        <v>0</v>
      </c>
      <c r="F110">
        <v>0</v>
      </c>
      <c r="G110">
        <v>0</v>
      </c>
      <c r="H110">
        <f>IF(OR(A110&lt;18, A110&gt;40, B110&gt;=30), 1, 0)</f>
        <v>0</v>
      </c>
      <c r="I110">
        <f t="shared" si="3"/>
        <v>0</v>
      </c>
      <c r="J110">
        <f t="shared" si="4"/>
        <v>1</v>
      </c>
      <c r="K110" t="str">
        <f t="shared" si="5"/>
        <v>0.33</v>
      </c>
    </row>
    <row r="111" spans="1:11" x14ac:dyDescent="0.3">
      <c r="A111">
        <v>30</v>
      </c>
      <c r="B111">
        <v>34.830820699635296</v>
      </c>
      <c r="C111">
        <v>77</v>
      </c>
      <c r="D111">
        <v>138</v>
      </c>
      <c r="E111">
        <v>1</v>
      </c>
      <c r="F111">
        <v>1</v>
      </c>
      <c r="G111">
        <v>0</v>
      </c>
      <c r="H111">
        <f>IF(OR(A111&lt;18, A111&gt;40, B111&gt;=30), 1, 0)</f>
        <v>1</v>
      </c>
      <c r="I111">
        <f t="shared" si="3"/>
        <v>1</v>
      </c>
      <c r="J111">
        <f t="shared" si="4"/>
        <v>1</v>
      </c>
      <c r="K111" t="str">
        <f t="shared" si="5"/>
        <v>0.99</v>
      </c>
    </row>
    <row r="112" spans="1:11" x14ac:dyDescent="0.3">
      <c r="A112">
        <v>34</v>
      </c>
      <c r="B112">
        <v>24.960620729026399</v>
      </c>
      <c r="C112">
        <v>72</v>
      </c>
      <c r="D112">
        <v>134</v>
      </c>
      <c r="E112">
        <v>1</v>
      </c>
      <c r="F112">
        <v>0</v>
      </c>
      <c r="G112">
        <v>1</v>
      </c>
      <c r="H112">
        <f>IF(OR(A112&lt;18, A112&gt;40, B112&gt;=30), 1, 0)</f>
        <v>0</v>
      </c>
      <c r="I112">
        <f t="shared" si="3"/>
        <v>1</v>
      </c>
      <c r="J112">
        <f t="shared" si="4"/>
        <v>1</v>
      </c>
      <c r="K112" t="str">
        <f t="shared" si="5"/>
        <v>0.66</v>
      </c>
    </row>
    <row r="113" spans="1:11" x14ac:dyDescent="0.3">
      <c r="A113">
        <v>31</v>
      </c>
      <c r="B113">
        <v>23.9734060834605</v>
      </c>
      <c r="C113">
        <v>79</v>
      </c>
      <c r="D113">
        <v>134</v>
      </c>
      <c r="E113">
        <v>1</v>
      </c>
      <c r="F113">
        <v>0</v>
      </c>
      <c r="G113">
        <v>0</v>
      </c>
      <c r="H113">
        <f>IF(OR(A113&lt;18, A113&gt;40, B113&gt;=30), 1, 0)</f>
        <v>0</v>
      </c>
      <c r="I113">
        <f t="shared" si="3"/>
        <v>1</v>
      </c>
      <c r="J113">
        <f t="shared" si="4"/>
        <v>1</v>
      </c>
      <c r="K113" t="str">
        <f t="shared" si="5"/>
        <v>0.66</v>
      </c>
    </row>
    <row r="114" spans="1:11" x14ac:dyDescent="0.3">
      <c r="A114">
        <v>21</v>
      </c>
      <c r="B114">
        <v>21.5903538831862</v>
      </c>
      <c r="C114">
        <v>77</v>
      </c>
      <c r="D114">
        <v>121</v>
      </c>
      <c r="E114">
        <v>0</v>
      </c>
      <c r="F114">
        <v>0</v>
      </c>
      <c r="G114">
        <v>0</v>
      </c>
      <c r="H114">
        <f>IF(OR(A114&lt;18, A114&gt;40, B114&gt;=30), 1, 0)</f>
        <v>0</v>
      </c>
      <c r="I114">
        <f t="shared" si="3"/>
        <v>0</v>
      </c>
      <c r="J114">
        <f t="shared" si="4"/>
        <v>1</v>
      </c>
      <c r="K114" t="str">
        <f t="shared" si="5"/>
        <v>0.33</v>
      </c>
    </row>
    <row r="115" spans="1:11" x14ac:dyDescent="0.3">
      <c r="A115">
        <v>30</v>
      </c>
      <c r="B115">
        <v>22.2220054781844</v>
      </c>
      <c r="C115">
        <v>89</v>
      </c>
      <c r="D115">
        <v>133</v>
      </c>
      <c r="E115">
        <v>1</v>
      </c>
      <c r="F115">
        <v>1</v>
      </c>
      <c r="G115">
        <v>0</v>
      </c>
      <c r="H115">
        <f>IF(OR(A115&lt;18, A115&gt;40, B115&gt;=30), 1, 0)</f>
        <v>0</v>
      </c>
      <c r="I115">
        <f t="shared" si="3"/>
        <v>1</v>
      </c>
      <c r="J115">
        <f t="shared" si="4"/>
        <v>1</v>
      </c>
      <c r="K115" t="str">
        <f t="shared" si="5"/>
        <v>0.66</v>
      </c>
    </row>
    <row r="116" spans="1:11" x14ac:dyDescent="0.3">
      <c r="A116">
        <v>31</v>
      </c>
      <c r="B116">
        <v>18.511104757222199</v>
      </c>
      <c r="C116">
        <v>72</v>
      </c>
      <c r="D116">
        <v>133</v>
      </c>
      <c r="E116">
        <v>0</v>
      </c>
      <c r="F116">
        <v>1</v>
      </c>
      <c r="G116">
        <v>0</v>
      </c>
      <c r="H116">
        <f>IF(OR(A116&lt;18, A116&gt;40, B116&gt;=30), 1, 0)</f>
        <v>0</v>
      </c>
      <c r="I116">
        <f t="shared" si="3"/>
        <v>1</v>
      </c>
      <c r="J116">
        <f t="shared" si="4"/>
        <v>1</v>
      </c>
      <c r="K116" t="str">
        <f t="shared" si="5"/>
        <v>0.66</v>
      </c>
    </row>
    <row r="117" spans="1:11" x14ac:dyDescent="0.3">
      <c r="A117">
        <v>27</v>
      </c>
      <c r="B117">
        <v>19.823411615796299</v>
      </c>
      <c r="C117">
        <v>71</v>
      </c>
      <c r="D117">
        <v>125</v>
      </c>
      <c r="E117">
        <v>1</v>
      </c>
      <c r="F117">
        <v>0</v>
      </c>
      <c r="G117">
        <v>1</v>
      </c>
      <c r="H117">
        <f>IF(OR(A117&lt;18, A117&gt;40, B117&gt;=30), 1, 0)</f>
        <v>0</v>
      </c>
      <c r="I117">
        <f t="shared" si="3"/>
        <v>1</v>
      </c>
      <c r="J117">
        <f t="shared" si="4"/>
        <v>1</v>
      </c>
      <c r="K117" t="str">
        <f t="shared" si="5"/>
        <v>0.66</v>
      </c>
    </row>
    <row r="118" spans="1:11" x14ac:dyDescent="0.3">
      <c r="A118">
        <v>19</v>
      </c>
      <c r="B118">
        <v>32.993974516787198</v>
      </c>
      <c r="C118">
        <v>74</v>
      </c>
      <c r="D118">
        <v>121</v>
      </c>
      <c r="E118">
        <v>1</v>
      </c>
      <c r="F118">
        <v>0</v>
      </c>
      <c r="G118">
        <v>0</v>
      </c>
      <c r="H118">
        <f>IF(OR(A118&lt;18, A118&gt;40, B118&gt;=30), 1, 0)</f>
        <v>1</v>
      </c>
      <c r="I118">
        <f t="shared" si="3"/>
        <v>1</v>
      </c>
      <c r="J118">
        <f t="shared" si="4"/>
        <v>1</v>
      </c>
      <c r="K118" t="str">
        <f t="shared" si="5"/>
        <v>0.99</v>
      </c>
    </row>
    <row r="119" spans="1:11" x14ac:dyDescent="0.3">
      <c r="A119">
        <v>26</v>
      </c>
      <c r="B119">
        <v>19.9904697152305</v>
      </c>
      <c r="C119">
        <v>70</v>
      </c>
      <c r="D119">
        <v>129</v>
      </c>
      <c r="E119">
        <v>0</v>
      </c>
      <c r="F119">
        <v>1</v>
      </c>
      <c r="G119">
        <v>0</v>
      </c>
      <c r="H119">
        <f>IF(OR(A119&lt;18, A119&gt;40, B119&gt;=30), 1, 0)</f>
        <v>0</v>
      </c>
      <c r="I119">
        <f t="shared" si="3"/>
        <v>1</v>
      </c>
      <c r="J119">
        <f t="shared" si="4"/>
        <v>1</v>
      </c>
      <c r="K119" t="str">
        <f t="shared" si="5"/>
        <v>0.66</v>
      </c>
    </row>
    <row r="120" spans="1:11" x14ac:dyDescent="0.3">
      <c r="A120">
        <v>22</v>
      </c>
      <c r="B120">
        <v>19.8979736636933</v>
      </c>
      <c r="C120">
        <v>71</v>
      </c>
      <c r="D120">
        <v>120</v>
      </c>
      <c r="E120">
        <v>1</v>
      </c>
      <c r="F120">
        <v>0</v>
      </c>
      <c r="G120">
        <v>1</v>
      </c>
      <c r="H120">
        <f>IF(OR(A120&lt;18, A120&gt;40, B120&gt;=30), 1, 0)</f>
        <v>0</v>
      </c>
      <c r="I120">
        <f t="shared" si="3"/>
        <v>1</v>
      </c>
      <c r="J120">
        <f t="shared" si="4"/>
        <v>1</v>
      </c>
      <c r="K120" t="str">
        <f t="shared" si="5"/>
        <v>0.66</v>
      </c>
    </row>
    <row r="121" spans="1:11" x14ac:dyDescent="0.3">
      <c r="A121">
        <v>28</v>
      </c>
      <c r="B121">
        <v>24.7141520382526</v>
      </c>
      <c r="C121">
        <v>79</v>
      </c>
      <c r="D121">
        <v>138</v>
      </c>
      <c r="E121">
        <v>1</v>
      </c>
      <c r="F121">
        <v>0</v>
      </c>
      <c r="G121">
        <v>0</v>
      </c>
      <c r="H121">
        <f>IF(OR(A121&lt;18, A121&gt;40, B121&gt;=30), 1, 0)</f>
        <v>0</v>
      </c>
      <c r="I121">
        <f t="shared" si="3"/>
        <v>1</v>
      </c>
      <c r="J121">
        <f t="shared" si="4"/>
        <v>1</v>
      </c>
      <c r="K121" t="str">
        <f t="shared" si="5"/>
        <v>0.66</v>
      </c>
    </row>
    <row r="122" spans="1:11" x14ac:dyDescent="0.3">
      <c r="A122">
        <v>34</v>
      </c>
      <c r="B122">
        <v>28.0917132065854</v>
      </c>
      <c r="C122">
        <v>75</v>
      </c>
      <c r="D122">
        <v>137</v>
      </c>
      <c r="E122">
        <v>0</v>
      </c>
      <c r="F122">
        <v>1</v>
      </c>
      <c r="G122">
        <v>0</v>
      </c>
      <c r="H122">
        <f>IF(OR(A122&lt;18, A122&gt;40, B122&gt;=30), 1, 0)</f>
        <v>0</v>
      </c>
      <c r="I122">
        <f t="shared" si="3"/>
        <v>1</v>
      </c>
      <c r="J122">
        <f t="shared" si="4"/>
        <v>1</v>
      </c>
      <c r="K122" t="str">
        <f t="shared" si="5"/>
        <v>0.66</v>
      </c>
    </row>
    <row r="123" spans="1:11" x14ac:dyDescent="0.3">
      <c r="A123">
        <v>27</v>
      </c>
      <c r="B123">
        <v>21.9093314635311</v>
      </c>
      <c r="C123">
        <v>85</v>
      </c>
      <c r="D123">
        <v>122</v>
      </c>
      <c r="E123">
        <v>1</v>
      </c>
      <c r="F123">
        <v>1</v>
      </c>
      <c r="G123">
        <v>1</v>
      </c>
      <c r="H123">
        <f>IF(OR(A123&lt;18, A123&gt;40, B123&gt;=30), 1, 0)</f>
        <v>0</v>
      </c>
      <c r="I123">
        <f t="shared" si="3"/>
        <v>1</v>
      </c>
      <c r="J123">
        <f t="shared" si="4"/>
        <v>1</v>
      </c>
      <c r="K123" t="str">
        <f t="shared" si="5"/>
        <v>0.66</v>
      </c>
    </row>
    <row r="124" spans="1:11" x14ac:dyDescent="0.3">
      <c r="A124">
        <v>31</v>
      </c>
      <c r="B124">
        <v>34.737627162330597</v>
      </c>
      <c r="C124">
        <v>77</v>
      </c>
      <c r="D124">
        <v>139</v>
      </c>
      <c r="E124">
        <v>0</v>
      </c>
      <c r="F124">
        <v>1</v>
      </c>
      <c r="G124">
        <v>0</v>
      </c>
      <c r="H124">
        <f>IF(OR(A124&lt;18, A124&gt;40, B124&gt;=30), 1, 0)</f>
        <v>1</v>
      </c>
      <c r="I124">
        <f t="shared" si="3"/>
        <v>1</v>
      </c>
      <c r="J124">
        <f t="shared" si="4"/>
        <v>1</v>
      </c>
      <c r="K124" t="str">
        <f t="shared" si="5"/>
        <v>0.99</v>
      </c>
    </row>
    <row r="125" spans="1:11" x14ac:dyDescent="0.3">
      <c r="A125">
        <v>25</v>
      </c>
      <c r="B125">
        <v>33.095134574962401</v>
      </c>
      <c r="C125">
        <v>82</v>
      </c>
      <c r="D125">
        <v>125</v>
      </c>
      <c r="E125">
        <v>1</v>
      </c>
      <c r="F125">
        <v>0</v>
      </c>
      <c r="G125">
        <v>1</v>
      </c>
      <c r="H125">
        <f>IF(OR(A125&lt;18, A125&gt;40, B125&gt;=30), 1, 0)</f>
        <v>1</v>
      </c>
      <c r="I125">
        <f t="shared" si="3"/>
        <v>1</v>
      </c>
      <c r="J125">
        <f t="shared" si="4"/>
        <v>1</v>
      </c>
      <c r="K125" t="str">
        <f t="shared" si="5"/>
        <v>0.99</v>
      </c>
    </row>
    <row r="126" spans="1:11" x14ac:dyDescent="0.3">
      <c r="A126">
        <v>28</v>
      </c>
      <c r="B126">
        <v>30.848569108442899</v>
      </c>
      <c r="C126">
        <v>82</v>
      </c>
      <c r="D126">
        <v>137</v>
      </c>
      <c r="E126">
        <v>0</v>
      </c>
      <c r="F126">
        <v>0</v>
      </c>
      <c r="G126">
        <v>1</v>
      </c>
      <c r="H126">
        <f>IF(OR(A126&lt;18, A126&gt;40, B126&gt;=30), 1, 0)</f>
        <v>1</v>
      </c>
      <c r="I126">
        <f t="shared" si="3"/>
        <v>1</v>
      </c>
      <c r="J126">
        <f t="shared" si="4"/>
        <v>1</v>
      </c>
      <c r="K126" t="str">
        <f t="shared" si="5"/>
        <v>0.99</v>
      </c>
    </row>
    <row r="127" spans="1:11" x14ac:dyDescent="0.3">
      <c r="A127">
        <v>23</v>
      </c>
      <c r="B127">
        <v>23.030379724512599</v>
      </c>
      <c r="C127">
        <v>81</v>
      </c>
      <c r="D127">
        <v>139</v>
      </c>
      <c r="E127">
        <v>0</v>
      </c>
      <c r="F127">
        <v>0</v>
      </c>
      <c r="G127">
        <v>1</v>
      </c>
      <c r="H127">
        <f>IF(OR(A127&lt;18, A127&gt;40, B127&gt;=30), 1, 0)</f>
        <v>0</v>
      </c>
      <c r="I127">
        <f t="shared" si="3"/>
        <v>1</v>
      </c>
      <c r="J127">
        <f t="shared" si="4"/>
        <v>1</v>
      </c>
      <c r="K127" t="str">
        <f t="shared" si="5"/>
        <v>0.66</v>
      </c>
    </row>
    <row r="128" spans="1:11" x14ac:dyDescent="0.3">
      <c r="A128">
        <v>30</v>
      </c>
      <c r="B128">
        <v>26.409330475550099</v>
      </c>
      <c r="C128">
        <v>85</v>
      </c>
      <c r="D128">
        <v>130</v>
      </c>
      <c r="E128">
        <v>0</v>
      </c>
      <c r="F128">
        <v>1</v>
      </c>
      <c r="G128">
        <v>1</v>
      </c>
      <c r="H128">
        <f>IF(OR(A128&lt;18, A128&gt;40, B128&gt;=30), 1, 0)</f>
        <v>0</v>
      </c>
      <c r="I128">
        <f t="shared" si="3"/>
        <v>1</v>
      </c>
      <c r="J128">
        <f t="shared" si="4"/>
        <v>1</v>
      </c>
      <c r="K128" t="str">
        <f t="shared" si="5"/>
        <v>0.66</v>
      </c>
    </row>
    <row r="129" spans="1:11" x14ac:dyDescent="0.3">
      <c r="A129">
        <v>22</v>
      </c>
      <c r="B129">
        <v>32.244520393421197</v>
      </c>
      <c r="C129">
        <v>73</v>
      </c>
      <c r="D129">
        <v>130</v>
      </c>
      <c r="E129">
        <v>1</v>
      </c>
      <c r="F129">
        <v>1</v>
      </c>
      <c r="G129">
        <v>0</v>
      </c>
      <c r="H129">
        <f>IF(OR(A129&lt;18, A129&gt;40, B129&gt;=30), 1, 0)</f>
        <v>1</v>
      </c>
      <c r="I129">
        <f t="shared" si="3"/>
        <v>1</v>
      </c>
      <c r="J129">
        <f t="shared" si="4"/>
        <v>1</v>
      </c>
      <c r="K129" t="str">
        <f t="shared" si="5"/>
        <v>0.99</v>
      </c>
    </row>
    <row r="130" spans="1:11" x14ac:dyDescent="0.3">
      <c r="A130">
        <v>19</v>
      </c>
      <c r="B130">
        <v>25.4129368465113</v>
      </c>
      <c r="C130">
        <v>77</v>
      </c>
      <c r="D130">
        <v>136</v>
      </c>
      <c r="E130">
        <v>1</v>
      </c>
      <c r="F130">
        <v>1</v>
      </c>
      <c r="G130">
        <v>1</v>
      </c>
      <c r="H130">
        <f>IF(OR(A130&lt;18, A130&gt;40, B130&gt;=30), 1, 0)</f>
        <v>0</v>
      </c>
      <c r="I130">
        <f t="shared" si="3"/>
        <v>1</v>
      </c>
      <c r="J130">
        <f t="shared" si="4"/>
        <v>1</v>
      </c>
      <c r="K130" t="str">
        <f t="shared" si="5"/>
        <v>0.66</v>
      </c>
    </row>
    <row r="131" spans="1:11" x14ac:dyDescent="0.3">
      <c r="A131">
        <v>22</v>
      </c>
      <c r="B131">
        <v>23.852331287713501</v>
      </c>
      <c r="C131">
        <v>82</v>
      </c>
      <c r="D131">
        <v>128</v>
      </c>
      <c r="E131">
        <v>1</v>
      </c>
      <c r="F131">
        <v>0</v>
      </c>
      <c r="G131">
        <v>1</v>
      </c>
      <c r="H131">
        <f>IF(OR(A131&lt;18, A131&gt;40, B131&gt;=30), 1, 0)</f>
        <v>0</v>
      </c>
      <c r="I131">
        <f t="shared" ref="I131:I194" si="6">IF(OR(E131=1, F131=1, G131=1), 1, 0)</f>
        <v>1</v>
      </c>
      <c r="J131">
        <f t="shared" ref="J131:J194" si="7">IF(OR(C131&gt;=140, D131&gt;=90), 1, 0)</f>
        <v>1</v>
      </c>
      <c r="K131" t="str">
        <f t="shared" ref="K131:K194" si="8">IF((H131+I131+J131)=3, "0.99", IF((H131+I131+J131)=2, "0.66", IF((H131+I131+J131)=1, "0.33", "0.0")))</f>
        <v>0.66</v>
      </c>
    </row>
    <row r="132" spans="1:11" x14ac:dyDescent="0.3">
      <c r="A132">
        <v>23</v>
      </c>
      <c r="B132">
        <v>29.957263989792001</v>
      </c>
      <c r="C132">
        <v>73</v>
      </c>
      <c r="D132">
        <v>139</v>
      </c>
      <c r="E132">
        <v>1</v>
      </c>
      <c r="F132">
        <v>0</v>
      </c>
      <c r="G132">
        <v>1</v>
      </c>
      <c r="H132">
        <f>IF(OR(A132&lt;18, A132&gt;40, B132&gt;=30), 1, 0)</f>
        <v>0</v>
      </c>
      <c r="I132">
        <f t="shared" si="6"/>
        <v>1</v>
      </c>
      <c r="J132">
        <f t="shared" si="7"/>
        <v>1</v>
      </c>
      <c r="K132" t="str">
        <f t="shared" si="8"/>
        <v>0.66</v>
      </c>
    </row>
    <row r="133" spans="1:11" x14ac:dyDescent="0.3">
      <c r="A133">
        <v>18</v>
      </c>
      <c r="B133">
        <v>31.875812674024399</v>
      </c>
      <c r="C133">
        <v>78</v>
      </c>
      <c r="D133">
        <v>131</v>
      </c>
      <c r="E133">
        <v>1</v>
      </c>
      <c r="F133">
        <v>0</v>
      </c>
      <c r="G133">
        <v>1</v>
      </c>
      <c r="H133">
        <f>IF(OR(A133&lt;18, A133&gt;40, B133&gt;=30), 1, 0)</f>
        <v>1</v>
      </c>
      <c r="I133">
        <f t="shared" si="6"/>
        <v>1</v>
      </c>
      <c r="J133">
        <f t="shared" si="7"/>
        <v>1</v>
      </c>
      <c r="K133" t="str">
        <f t="shared" si="8"/>
        <v>0.99</v>
      </c>
    </row>
    <row r="134" spans="1:11" x14ac:dyDescent="0.3">
      <c r="A134">
        <v>30</v>
      </c>
      <c r="B134">
        <v>28.6319760015448</v>
      </c>
      <c r="C134">
        <v>71</v>
      </c>
      <c r="D134">
        <v>137</v>
      </c>
      <c r="E134">
        <v>0</v>
      </c>
      <c r="F134">
        <v>1</v>
      </c>
      <c r="G134">
        <v>0</v>
      </c>
      <c r="H134">
        <f>IF(OR(A134&lt;18, A134&gt;40, B134&gt;=30), 1, 0)</f>
        <v>0</v>
      </c>
      <c r="I134">
        <f t="shared" si="6"/>
        <v>1</v>
      </c>
      <c r="J134">
        <f t="shared" si="7"/>
        <v>1</v>
      </c>
      <c r="K134" t="str">
        <f t="shared" si="8"/>
        <v>0.66</v>
      </c>
    </row>
    <row r="135" spans="1:11" x14ac:dyDescent="0.3">
      <c r="A135">
        <v>27</v>
      </c>
      <c r="B135">
        <v>26.657160401714702</v>
      </c>
      <c r="C135">
        <v>80</v>
      </c>
      <c r="D135">
        <v>129</v>
      </c>
      <c r="E135">
        <v>1</v>
      </c>
      <c r="F135">
        <v>1</v>
      </c>
      <c r="G135">
        <v>0</v>
      </c>
      <c r="H135">
        <f>IF(OR(A135&lt;18, A135&gt;40, B135&gt;=30), 1, 0)</f>
        <v>0</v>
      </c>
      <c r="I135">
        <f t="shared" si="6"/>
        <v>1</v>
      </c>
      <c r="J135">
        <f t="shared" si="7"/>
        <v>1</v>
      </c>
      <c r="K135" t="str">
        <f t="shared" si="8"/>
        <v>0.66</v>
      </c>
    </row>
    <row r="136" spans="1:11" x14ac:dyDescent="0.3">
      <c r="A136">
        <v>29</v>
      </c>
      <c r="B136">
        <v>33.418103195439002</v>
      </c>
      <c r="C136">
        <v>72</v>
      </c>
      <c r="D136">
        <v>136</v>
      </c>
      <c r="E136">
        <v>1</v>
      </c>
      <c r="F136">
        <v>0</v>
      </c>
      <c r="G136">
        <v>1</v>
      </c>
      <c r="H136">
        <f>IF(OR(A136&lt;18, A136&gt;40, B136&gt;=30), 1, 0)</f>
        <v>1</v>
      </c>
      <c r="I136">
        <f t="shared" si="6"/>
        <v>1</v>
      </c>
      <c r="J136">
        <f t="shared" si="7"/>
        <v>1</v>
      </c>
      <c r="K136" t="str">
        <f t="shared" si="8"/>
        <v>0.99</v>
      </c>
    </row>
    <row r="137" spans="1:11" x14ac:dyDescent="0.3">
      <c r="A137">
        <v>22</v>
      </c>
      <c r="B137">
        <v>29.928470391418902</v>
      </c>
      <c r="C137">
        <v>82</v>
      </c>
      <c r="D137">
        <v>122</v>
      </c>
      <c r="E137">
        <v>1</v>
      </c>
      <c r="F137">
        <v>0</v>
      </c>
      <c r="G137">
        <v>1</v>
      </c>
      <c r="H137">
        <f>IF(OR(A137&lt;18, A137&gt;40, B137&gt;=30), 1, 0)</f>
        <v>0</v>
      </c>
      <c r="I137">
        <f t="shared" si="6"/>
        <v>1</v>
      </c>
      <c r="J137">
        <f t="shared" si="7"/>
        <v>1</v>
      </c>
      <c r="K137" t="str">
        <f t="shared" si="8"/>
        <v>0.66</v>
      </c>
    </row>
    <row r="138" spans="1:11" x14ac:dyDescent="0.3">
      <c r="A138">
        <v>22</v>
      </c>
      <c r="B138">
        <v>25.920460053173802</v>
      </c>
      <c r="C138">
        <v>78</v>
      </c>
      <c r="D138">
        <v>139</v>
      </c>
      <c r="E138">
        <v>1</v>
      </c>
      <c r="F138">
        <v>1</v>
      </c>
      <c r="G138">
        <v>1</v>
      </c>
      <c r="H138">
        <f>IF(OR(A138&lt;18, A138&gt;40, B138&gt;=30), 1, 0)</f>
        <v>0</v>
      </c>
      <c r="I138">
        <f t="shared" si="6"/>
        <v>1</v>
      </c>
      <c r="J138">
        <f t="shared" si="7"/>
        <v>1</v>
      </c>
      <c r="K138" t="str">
        <f t="shared" si="8"/>
        <v>0.66</v>
      </c>
    </row>
    <row r="139" spans="1:11" x14ac:dyDescent="0.3">
      <c r="A139">
        <v>26</v>
      </c>
      <c r="B139">
        <v>33.600730895351397</v>
      </c>
      <c r="C139">
        <v>79</v>
      </c>
      <c r="D139">
        <v>125</v>
      </c>
      <c r="E139">
        <v>1</v>
      </c>
      <c r="F139">
        <v>1</v>
      </c>
      <c r="G139">
        <v>0</v>
      </c>
      <c r="H139">
        <f>IF(OR(A139&lt;18, A139&gt;40, B139&gt;=30), 1, 0)</f>
        <v>1</v>
      </c>
      <c r="I139">
        <f t="shared" si="6"/>
        <v>1</v>
      </c>
      <c r="J139">
        <f t="shared" si="7"/>
        <v>1</v>
      </c>
      <c r="K139" t="str">
        <f t="shared" si="8"/>
        <v>0.99</v>
      </c>
    </row>
    <row r="140" spans="1:11" x14ac:dyDescent="0.3">
      <c r="A140">
        <v>33</v>
      </c>
      <c r="B140">
        <v>25.371414244381601</v>
      </c>
      <c r="C140">
        <v>83</v>
      </c>
      <c r="D140">
        <v>139</v>
      </c>
      <c r="E140">
        <v>0</v>
      </c>
      <c r="F140">
        <v>1</v>
      </c>
      <c r="G140">
        <v>1</v>
      </c>
      <c r="H140">
        <f>IF(OR(A140&lt;18, A140&gt;40, B140&gt;=30), 1, 0)</f>
        <v>0</v>
      </c>
      <c r="I140">
        <f t="shared" si="6"/>
        <v>1</v>
      </c>
      <c r="J140">
        <f t="shared" si="7"/>
        <v>1</v>
      </c>
      <c r="K140" t="str">
        <f t="shared" si="8"/>
        <v>0.66</v>
      </c>
    </row>
    <row r="141" spans="1:11" x14ac:dyDescent="0.3">
      <c r="A141">
        <v>30</v>
      </c>
      <c r="B141">
        <v>21.976761235233401</v>
      </c>
      <c r="C141">
        <v>79</v>
      </c>
      <c r="D141">
        <v>120</v>
      </c>
      <c r="E141">
        <v>0</v>
      </c>
      <c r="F141">
        <v>1</v>
      </c>
      <c r="G141">
        <v>1</v>
      </c>
      <c r="H141">
        <f>IF(OR(A141&lt;18, A141&gt;40, B141&gt;=30), 1, 0)</f>
        <v>0</v>
      </c>
      <c r="I141">
        <f t="shared" si="6"/>
        <v>1</v>
      </c>
      <c r="J141">
        <f t="shared" si="7"/>
        <v>1</v>
      </c>
      <c r="K141" t="str">
        <f t="shared" si="8"/>
        <v>0.66</v>
      </c>
    </row>
    <row r="142" spans="1:11" x14ac:dyDescent="0.3">
      <c r="A142">
        <v>25</v>
      </c>
      <c r="B142">
        <v>22.937670494034801</v>
      </c>
      <c r="C142">
        <v>81</v>
      </c>
      <c r="D142">
        <v>131</v>
      </c>
      <c r="E142">
        <v>1</v>
      </c>
      <c r="F142">
        <v>1</v>
      </c>
      <c r="G142">
        <v>1</v>
      </c>
      <c r="H142">
        <f>IF(OR(A142&lt;18, A142&gt;40, B142&gt;=30), 1, 0)</f>
        <v>0</v>
      </c>
      <c r="I142">
        <f t="shared" si="6"/>
        <v>1</v>
      </c>
      <c r="J142">
        <f t="shared" si="7"/>
        <v>1</v>
      </c>
      <c r="K142" t="str">
        <f t="shared" si="8"/>
        <v>0.66</v>
      </c>
    </row>
    <row r="143" spans="1:11" x14ac:dyDescent="0.3">
      <c r="A143">
        <v>29</v>
      </c>
      <c r="B143">
        <v>32.167349067430102</v>
      </c>
      <c r="C143">
        <v>74</v>
      </c>
      <c r="D143">
        <v>120</v>
      </c>
      <c r="E143">
        <v>0</v>
      </c>
      <c r="F143">
        <v>0</v>
      </c>
      <c r="G143">
        <v>0</v>
      </c>
      <c r="H143">
        <f>IF(OR(A143&lt;18, A143&gt;40, B143&gt;=30), 1, 0)</f>
        <v>1</v>
      </c>
      <c r="I143">
        <f t="shared" si="6"/>
        <v>0</v>
      </c>
      <c r="J143">
        <f t="shared" si="7"/>
        <v>1</v>
      </c>
      <c r="K143" t="str">
        <f t="shared" si="8"/>
        <v>0.66</v>
      </c>
    </row>
    <row r="144" spans="1:11" x14ac:dyDescent="0.3">
      <c r="A144">
        <v>31</v>
      </c>
      <c r="B144">
        <v>34.929175015511397</v>
      </c>
      <c r="C144">
        <v>87</v>
      </c>
      <c r="D144">
        <v>127</v>
      </c>
      <c r="E144">
        <v>1</v>
      </c>
      <c r="F144">
        <v>1</v>
      </c>
      <c r="G144">
        <v>0</v>
      </c>
      <c r="H144">
        <f>IF(OR(A144&lt;18, A144&gt;40, B144&gt;=30), 1, 0)</f>
        <v>1</v>
      </c>
      <c r="I144">
        <f t="shared" si="6"/>
        <v>1</v>
      </c>
      <c r="J144">
        <f t="shared" si="7"/>
        <v>1</v>
      </c>
      <c r="K144" t="str">
        <f t="shared" si="8"/>
        <v>0.99</v>
      </c>
    </row>
    <row r="145" spans="1:11" x14ac:dyDescent="0.3">
      <c r="A145">
        <v>22</v>
      </c>
      <c r="B145">
        <v>28.206625885318601</v>
      </c>
      <c r="C145">
        <v>77</v>
      </c>
      <c r="D145">
        <v>127</v>
      </c>
      <c r="E145">
        <v>1</v>
      </c>
      <c r="F145">
        <v>1</v>
      </c>
      <c r="G145">
        <v>1</v>
      </c>
      <c r="H145">
        <f>IF(OR(A145&lt;18, A145&gt;40, B145&gt;=30), 1, 0)</f>
        <v>0</v>
      </c>
      <c r="I145">
        <f t="shared" si="6"/>
        <v>1</v>
      </c>
      <c r="J145">
        <f t="shared" si="7"/>
        <v>1</v>
      </c>
      <c r="K145" t="str">
        <f t="shared" si="8"/>
        <v>0.66</v>
      </c>
    </row>
    <row r="146" spans="1:11" x14ac:dyDescent="0.3">
      <c r="A146">
        <v>25</v>
      </c>
      <c r="B146">
        <v>33.78077333401</v>
      </c>
      <c r="C146">
        <v>79</v>
      </c>
      <c r="D146">
        <v>134</v>
      </c>
      <c r="E146">
        <v>0</v>
      </c>
      <c r="F146">
        <v>0</v>
      </c>
      <c r="G146">
        <v>1</v>
      </c>
      <c r="H146">
        <f>IF(OR(A146&lt;18, A146&gt;40, B146&gt;=30), 1, 0)</f>
        <v>1</v>
      </c>
      <c r="I146">
        <f t="shared" si="6"/>
        <v>1</v>
      </c>
      <c r="J146">
        <f t="shared" si="7"/>
        <v>1</v>
      </c>
      <c r="K146" t="str">
        <f t="shared" si="8"/>
        <v>0.99</v>
      </c>
    </row>
    <row r="147" spans="1:11" x14ac:dyDescent="0.3">
      <c r="A147">
        <v>21</v>
      </c>
      <c r="B147">
        <v>32.1555318988352</v>
      </c>
      <c r="C147">
        <v>79</v>
      </c>
      <c r="D147">
        <v>138</v>
      </c>
      <c r="E147">
        <v>1</v>
      </c>
      <c r="F147">
        <v>1</v>
      </c>
      <c r="G147">
        <v>0</v>
      </c>
      <c r="H147">
        <f>IF(OR(A147&lt;18, A147&gt;40, B147&gt;=30), 1, 0)</f>
        <v>1</v>
      </c>
      <c r="I147">
        <f t="shared" si="6"/>
        <v>1</v>
      </c>
      <c r="J147">
        <f t="shared" si="7"/>
        <v>1</v>
      </c>
      <c r="K147" t="str">
        <f t="shared" si="8"/>
        <v>0.99</v>
      </c>
    </row>
    <row r="148" spans="1:11" x14ac:dyDescent="0.3">
      <c r="A148">
        <v>27</v>
      </c>
      <c r="B148">
        <v>34.881828259745603</v>
      </c>
      <c r="C148">
        <v>80</v>
      </c>
      <c r="D148">
        <v>139</v>
      </c>
      <c r="E148">
        <v>0</v>
      </c>
      <c r="F148">
        <v>0</v>
      </c>
      <c r="G148">
        <v>1</v>
      </c>
      <c r="H148">
        <f>IF(OR(A148&lt;18, A148&gt;40, B148&gt;=30), 1, 0)</f>
        <v>1</v>
      </c>
      <c r="I148">
        <f t="shared" si="6"/>
        <v>1</v>
      </c>
      <c r="J148">
        <f t="shared" si="7"/>
        <v>1</v>
      </c>
      <c r="K148" t="str">
        <f t="shared" si="8"/>
        <v>0.99</v>
      </c>
    </row>
    <row r="149" spans="1:11" x14ac:dyDescent="0.3">
      <c r="A149">
        <v>33</v>
      </c>
      <c r="B149">
        <v>20.976087188600602</v>
      </c>
      <c r="C149">
        <v>78</v>
      </c>
      <c r="D149">
        <v>130</v>
      </c>
      <c r="E149">
        <v>1</v>
      </c>
      <c r="F149">
        <v>0</v>
      </c>
      <c r="G149">
        <v>1</v>
      </c>
      <c r="H149">
        <f>IF(OR(A149&lt;18, A149&gt;40, B149&gt;=30), 1, 0)</f>
        <v>0</v>
      </c>
      <c r="I149">
        <f t="shared" si="6"/>
        <v>1</v>
      </c>
      <c r="J149">
        <f t="shared" si="7"/>
        <v>1</v>
      </c>
      <c r="K149" t="str">
        <f t="shared" si="8"/>
        <v>0.66</v>
      </c>
    </row>
    <row r="150" spans="1:11" x14ac:dyDescent="0.3">
      <c r="A150">
        <v>21</v>
      </c>
      <c r="B150">
        <v>29.295523080964301</v>
      </c>
      <c r="C150">
        <v>85</v>
      </c>
      <c r="D150">
        <v>122</v>
      </c>
      <c r="E150">
        <v>0</v>
      </c>
      <c r="F150">
        <v>0</v>
      </c>
      <c r="G150">
        <v>1</v>
      </c>
      <c r="H150">
        <f>IF(OR(A150&lt;18, A150&gt;40, B150&gt;=30), 1, 0)</f>
        <v>0</v>
      </c>
      <c r="I150">
        <f t="shared" si="6"/>
        <v>1</v>
      </c>
      <c r="J150">
        <f t="shared" si="7"/>
        <v>1</v>
      </c>
      <c r="K150" t="str">
        <f t="shared" si="8"/>
        <v>0.66</v>
      </c>
    </row>
    <row r="151" spans="1:11" x14ac:dyDescent="0.3">
      <c r="A151">
        <v>27</v>
      </c>
      <c r="B151">
        <v>30.817363167832401</v>
      </c>
      <c r="C151">
        <v>82</v>
      </c>
      <c r="D151">
        <v>121</v>
      </c>
      <c r="E151">
        <v>1</v>
      </c>
      <c r="F151">
        <v>1</v>
      </c>
      <c r="G151">
        <v>0</v>
      </c>
      <c r="H151">
        <f>IF(OR(A151&lt;18, A151&gt;40, B151&gt;=30), 1, 0)</f>
        <v>1</v>
      </c>
      <c r="I151">
        <f t="shared" si="6"/>
        <v>1</v>
      </c>
      <c r="J151">
        <f t="shared" si="7"/>
        <v>1</v>
      </c>
      <c r="K151" t="str">
        <f t="shared" si="8"/>
        <v>0.99</v>
      </c>
    </row>
    <row r="152" spans="1:11" x14ac:dyDescent="0.3">
      <c r="A152">
        <v>18</v>
      </c>
      <c r="B152">
        <v>24.883065464720701</v>
      </c>
      <c r="C152">
        <v>80</v>
      </c>
      <c r="D152">
        <v>133</v>
      </c>
      <c r="E152">
        <v>1</v>
      </c>
      <c r="F152">
        <v>1</v>
      </c>
      <c r="G152">
        <v>1</v>
      </c>
      <c r="H152">
        <f>IF(OR(A152&lt;18, A152&gt;40, B152&gt;=30), 1, 0)</f>
        <v>0</v>
      </c>
      <c r="I152">
        <f t="shared" si="6"/>
        <v>1</v>
      </c>
      <c r="J152">
        <f t="shared" si="7"/>
        <v>1</v>
      </c>
      <c r="K152" t="str">
        <f t="shared" si="8"/>
        <v>0.66</v>
      </c>
    </row>
    <row r="153" spans="1:11" x14ac:dyDescent="0.3">
      <c r="A153">
        <v>28</v>
      </c>
      <c r="B153">
        <v>18.9848444443289</v>
      </c>
      <c r="C153">
        <v>75</v>
      </c>
      <c r="D153">
        <v>127</v>
      </c>
      <c r="E153">
        <v>0</v>
      </c>
      <c r="F153">
        <v>1</v>
      </c>
      <c r="G153">
        <v>0</v>
      </c>
      <c r="H153">
        <f>IF(OR(A153&lt;18, A153&gt;40, B153&gt;=30), 1, 0)</f>
        <v>0</v>
      </c>
      <c r="I153">
        <f t="shared" si="6"/>
        <v>1</v>
      </c>
      <c r="J153">
        <f t="shared" si="7"/>
        <v>1</v>
      </c>
      <c r="K153" t="str">
        <f t="shared" si="8"/>
        <v>0.66</v>
      </c>
    </row>
    <row r="154" spans="1:11" x14ac:dyDescent="0.3">
      <c r="A154">
        <v>26</v>
      </c>
      <c r="B154">
        <v>34.410335046881499</v>
      </c>
      <c r="C154">
        <v>77</v>
      </c>
      <c r="D154">
        <v>129</v>
      </c>
      <c r="E154">
        <v>1</v>
      </c>
      <c r="F154">
        <v>0</v>
      </c>
      <c r="G154">
        <v>1</v>
      </c>
      <c r="H154">
        <f>IF(OR(A154&lt;18, A154&gt;40, B154&gt;=30), 1, 0)</f>
        <v>1</v>
      </c>
      <c r="I154">
        <f t="shared" si="6"/>
        <v>1</v>
      </c>
      <c r="J154">
        <f t="shared" si="7"/>
        <v>1</v>
      </c>
      <c r="K154" t="str">
        <f t="shared" si="8"/>
        <v>0.99</v>
      </c>
    </row>
    <row r="155" spans="1:11" x14ac:dyDescent="0.3">
      <c r="A155">
        <v>22</v>
      </c>
      <c r="B155">
        <v>30.634809449996101</v>
      </c>
      <c r="C155">
        <v>79</v>
      </c>
      <c r="D155">
        <v>128</v>
      </c>
      <c r="E155">
        <v>0</v>
      </c>
      <c r="F155">
        <v>0</v>
      </c>
      <c r="G155">
        <v>1</v>
      </c>
      <c r="H155">
        <f>IF(OR(A155&lt;18, A155&gt;40, B155&gt;=30), 1, 0)</f>
        <v>1</v>
      </c>
      <c r="I155">
        <f t="shared" si="6"/>
        <v>1</v>
      </c>
      <c r="J155">
        <f t="shared" si="7"/>
        <v>1</v>
      </c>
      <c r="K155" t="str">
        <f t="shared" si="8"/>
        <v>0.99</v>
      </c>
    </row>
    <row r="156" spans="1:11" x14ac:dyDescent="0.3">
      <c r="A156">
        <v>20</v>
      </c>
      <c r="B156">
        <v>18.723522241068501</v>
      </c>
      <c r="C156">
        <v>88</v>
      </c>
      <c r="D156">
        <v>129</v>
      </c>
      <c r="E156">
        <v>0</v>
      </c>
      <c r="F156">
        <v>1</v>
      </c>
      <c r="G156">
        <v>0</v>
      </c>
      <c r="H156">
        <f>IF(OR(A156&lt;18, A156&gt;40, B156&gt;=30), 1, 0)</f>
        <v>0</v>
      </c>
      <c r="I156">
        <f t="shared" si="6"/>
        <v>1</v>
      </c>
      <c r="J156">
        <f t="shared" si="7"/>
        <v>1</v>
      </c>
      <c r="K156" t="str">
        <f t="shared" si="8"/>
        <v>0.66</v>
      </c>
    </row>
    <row r="157" spans="1:11" x14ac:dyDescent="0.3">
      <c r="A157">
        <v>34</v>
      </c>
      <c r="B157">
        <v>32.949009647954298</v>
      </c>
      <c r="C157">
        <v>81</v>
      </c>
      <c r="D157">
        <v>134</v>
      </c>
      <c r="E157">
        <v>1</v>
      </c>
      <c r="F157">
        <v>1</v>
      </c>
      <c r="G157">
        <v>1</v>
      </c>
      <c r="H157">
        <f>IF(OR(A157&lt;18, A157&gt;40, B157&gt;=30), 1, 0)</f>
        <v>1</v>
      </c>
      <c r="I157">
        <f t="shared" si="6"/>
        <v>1</v>
      </c>
      <c r="J157">
        <f t="shared" si="7"/>
        <v>1</v>
      </c>
      <c r="K157" t="str">
        <f t="shared" si="8"/>
        <v>0.99</v>
      </c>
    </row>
    <row r="158" spans="1:11" x14ac:dyDescent="0.3">
      <c r="A158">
        <v>21</v>
      </c>
      <c r="B158">
        <v>30.554045090041299</v>
      </c>
      <c r="C158">
        <v>74</v>
      </c>
      <c r="D158">
        <v>129</v>
      </c>
      <c r="E158">
        <v>1</v>
      </c>
      <c r="F158">
        <v>0</v>
      </c>
      <c r="G158">
        <v>1</v>
      </c>
      <c r="H158">
        <f>IF(OR(A158&lt;18, A158&gt;40, B158&gt;=30), 1, 0)</f>
        <v>1</v>
      </c>
      <c r="I158">
        <f t="shared" si="6"/>
        <v>1</v>
      </c>
      <c r="J158">
        <f t="shared" si="7"/>
        <v>1</v>
      </c>
      <c r="K158" t="str">
        <f t="shared" si="8"/>
        <v>0.99</v>
      </c>
    </row>
    <row r="159" spans="1:11" x14ac:dyDescent="0.3">
      <c r="A159">
        <v>28</v>
      </c>
      <c r="B159">
        <v>29.978053925335701</v>
      </c>
      <c r="C159">
        <v>83</v>
      </c>
      <c r="D159">
        <v>128</v>
      </c>
      <c r="E159">
        <v>1</v>
      </c>
      <c r="F159">
        <v>0</v>
      </c>
      <c r="G159">
        <v>0</v>
      </c>
      <c r="H159">
        <f>IF(OR(A159&lt;18, A159&gt;40, B159&gt;=30), 1, 0)</f>
        <v>0</v>
      </c>
      <c r="I159">
        <f t="shared" si="6"/>
        <v>1</v>
      </c>
      <c r="J159">
        <f t="shared" si="7"/>
        <v>1</v>
      </c>
      <c r="K159" t="str">
        <f t="shared" si="8"/>
        <v>0.66</v>
      </c>
    </row>
    <row r="160" spans="1:11" x14ac:dyDescent="0.3">
      <c r="A160">
        <v>34</v>
      </c>
      <c r="B160">
        <v>23.387818127461799</v>
      </c>
      <c r="C160">
        <v>70</v>
      </c>
      <c r="D160">
        <v>134</v>
      </c>
      <c r="E160">
        <v>1</v>
      </c>
      <c r="F160">
        <v>0</v>
      </c>
      <c r="G160">
        <v>1</v>
      </c>
      <c r="H160">
        <f>IF(OR(A160&lt;18, A160&gt;40, B160&gt;=30), 1, 0)</f>
        <v>0</v>
      </c>
      <c r="I160">
        <f t="shared" si="6"/>
        <v>1</v>
      </c>
      <c r="J160">
        <f t="shared" si="7"/>
        <v>1</v>
      </c>
      <c r="K160" t="str">
        <f t="shared" si="8"/>
        <v>0.66</v>
      </c>
    </row>
    <row r="161" spans="1:11" x14ac:dyDescent="0.3">
      <c r="A161">
        <v>31</v>
      </c>
      <c r="B161">
        <v>29.2839755807837</v>
      </c>
      <c r="C161">
        <v>73</v>
      </c>
      <c r="D161">
        <v>123</v>
      </c>
      <c r="E161">
        <v>0</v>
      </c>
      <c r="F161">
        <v>0</v>
      </c>
      <c r="G161">
        <v>0</v>
      </c>
      <c r="H161">
        <f>IF(OR(A161&lt;18, A161&gt;40, B161&gt;=30), 1, 0)</f>
        <v>0</v>
      </c>
      <c r="I161">
        <f t="shared" si="6"/>
        <v>0</v>
      </c>
      <c r="J161">
        <f t="shared" si="7"/>
        <v>1</v>
      </c>
      <c r="K161" t="str">
        <f t="shared" si="8"/>
        <v>0.33</v>
      </c>
    </row>
    <row r="162" spans="1:11" x14ac:dyDescent="0.3">
      <c r="A162">
        <v>28</v>
      </c>
      <c r="B162">
        <v>33.129926598361102</v>
      </c>
      <c r="C162">
        <v>80</v>
      </c>
      <c r="D162">
        <v>128</v>
      </c>
      <c r="E162">
        <v>0</v>
      </c>
      <c r="F162">
        <v>1</v>
      </c>
      <c r="G162">
        <v>1</v>
      </c>
      <c r="H162">
        <f>IF(OR(A162&lt;18, A162&gt;40, B162&gt;=30), 1, 0)</f>
        <v>1</v>
      </c>
      <c r="I162">
        <f t="shared" si="6"/>
        <v>1</v>
      </c>
      <c r="J162">
        <f t="shared" si="7"/>
        <v>1</v>
      </c>
      <c r="K162" t="str">
        <f t="shared" si="8"/>
        <v>0.99</v>
      </c>
    </row>
    <row r="163" spans="1:11" x14ac:dyDescent="0.3">
      <c r="A163">
        <v>33</v>
      </c>
      <c r="B163">
        <v>20.065574099751402</v>
      </c>
      <c r="C163">
        <v>85</v>
      </c>
      <c r="D163">
        <v>120</v>
      </c>
      <c r="E163">
        <v>0</v>
      </c>
      <c r="F163">
        <v>1</v>
      </c>
      <c r="G163">
        <v>0</v>
      </c>
      <c r="H163">
        <f>IF(OR(A163&lt;18, A163&gt;40, B163&gt;=30), 1, 0)</f>
        <v>0</v>
      </c>
      <c r="I163">
        <f t="shared" si="6"/>
        <v>1</v>
      </c>
      <c r="J163">
        <f t="shared" si="7"/>
        <v>1</v>
      </c>
      <c r="K163" t="str">
        <f t="shared" si="8"/>
        <v>0.66</v>
      </c>
    </row>
    <row r="164" spans="1:11" x14ac:dyDescent="0.3">
      <c r="A164">
        <v>34</v>
      </c>
      <c r="B164">
        <v>29.110821272434201</v>
      </c>
      <c r="C164">
        <v>85</v>
      </c>
      <c r="D164">
        <v>136</v>
      </c>
      <c r="E164">
        <v>0</v>
      </c>
      <c r="F164">
        <v>0</v>
      </c>
      <c r="G164">
        <v>0</v>
      </c>
      <c r="H164">
        <f>IF(OR(A164&lt;18, A164&gt;40, B164&gt;=30), 1, 0)</f>
        <v>0</v>
      </c>
      <c r="I164">
        <f t="shared" si="6"/>
        <v>0</v>
      </c>
      <c r="J164">
        <f t="shared" si="7"/>
        <v>1</v>
      </c>
      <c r="K164" t="str">
        <f t="shared" si="8"/>
        <v>0.33</v>
      </c>
    </row>
    <row r="165" spans="1:11" x14ac:dyDescent="0.3">
      <c r="A165">
        <v>22</v>
      </c>
      <c r="B165">
        <v>19.077523654622802</v>
      </c>
      <c r="C165">
        <v>80</v>
      </c>
      <c r="D165">
        <v>139</v>
      </c>
      <c r="E165">
        <v>0</v>
      </c>
      <c r="F165">
        <v>0</v>
      </c>
      <c r="G165">
        <v>0</v>
      </c>
      <c r="H165">
        <f>IF(OR(A165&lt;18, A165&gt;40, B165&gt;=30), 1, 0)</f>
        <v>0</v>
      </c>
      <c r="I165">
        <f t="shared" si="6"/>
        <v>0</v>
      </c>
      <c r="J165">
        <f t="shared" si="7"/>
        <v>1</v>
      </c>
      <c r="K165" t="str">
        <f t="shared" si="8"/>
        <v>0.33</v>
      </c>
    </row>
    <row r="166" spans="1:11" x14ac:dyDescent="0.3">
      <c r="A166">
        <v>28</v>
      </c>
      <c r="B166">
        <v>21.374031456538098</v>
      </c>
      <c r="C166">
        <v>73</v>
      </c>
      <c r="D166">
        <v>139</v>
      </c>
      <c r="E166">
        <v>0</v>
      </c>
      <c r="F166">
        <v>1</v>
      </c>
      <c r="G166">
        <v>1</v>
      </c>
      <c r="H166">
        <f>IF(OR(A166&lt;18, A166&gt;40, B166&gt;=30), 1, 0)</f>
        <v>0</v>
      </c>
      <c r="I166">
        <f t="shared" si="6"/>
        <v>1</v>
      </c>
      <c r="J166">
        <f t="shared" si="7"/>
        <v>1</v>
      </c>
      <c r="K166" t="str">
        <f t="shared" si="8"/>
        <v>0.66</v>
      </c>
    </row>
    <row r="167" spans="1:11" x14ac:dyDescent="0.3">
      <c r="A167">
        <v>21</v>
      </c>
      <c r="B167">
        <v>21.007098290036598</v>
      </c>
      <c r="C167">
        <v>81</v>
      </c>
      <c r="D167">
        <v>129</v>
      </c>
      <c r="E167">
        <v>1</v>
      </c>
      <c r="F167">
        <v>0</v>
      </c>
      <c r="G167">
        <v>1</v>
      </c>
      <c r="H167">
        <f>IF(OR(A167&lt;18, A167&gt;40, B167&gt;=30), 1, 0)</f>
        <v>0</v>
      </c>
      <c r="I167">
        <f t="shared" si="6"/>
        <v>1</v>
      </c>
      <c r="J167">
        <f t="shared" si="7"/>
        <v>1</v>
      </c>
      <c r="K167" t="str">
        <f t="shared" si="8"/>
        <v>0.66</v>
      </c>
    </row>
    <row r="168" spans="1:11" x14ac:dyDescent="0.3">
      <c r="A168">
        <v>20</v>
      </c>
      <c r="B168">
        <v>26.2506987649178</v>
      </c>
      <c r="C168">
        <v>84</v>
      </c>
      <c r="D168">
        <v>122</v>
      </c>
      <c r="E168">
        <v>0</v>
      </c>
      <c r="F168">
        <v>0</v>
      </c>
      <c r="G168">
        <v>0</v>
      </c>
      <c r="H168">
        <f>IF(OR(A168&lt;18, A168&gt;40, B168&gt;=30), 1, 0)</f>
        <v>0</v>
      </c>
      <c r="I168">
        <f t="shared" si="6"/>
        <v>0</v>
      </c>
      <c r="J168">
        <f t="shared" si="7"/>
        <v>1</v>
      </c>
      <c r="K168" t="str">
        <f t="shared" si="8"/>
        <v>0.33</v>
      </c>
    </row>
    <row r="169" spans="1:11" x14ac:dyDescent="0.3">
      <c r="A169">
        <v>23</v>
      </c>
      <c r="B169">
        <v>31.415877530289901</v>
      </c>
      <c r="C169">
        <v>89</v>
      </c>
      <c r="D169">
        <v>120</v>
      </c>
      <c r="E169">
        <v>0</v>
      </c>
      <c r="F169">
        <v>1</v>
      </c>
      <c r="G169">
        <v>1</v>
      </c>
      <c r="H169">
        <f>IF(OR(A169&lt;18, A169&gt;40, B169&gt;=30), 1, 0)</f>
        <v>1</v>
      </c>
      <c r="I169">
        <f t="shared" si="6"/>
        <v>1</v>
      </c>
      <c r="J169">
        <f t="shared" si="7"/>
        <v>1</v>
      </c>
      <c r="K169" t="str">
        <f t="shared" si="8"/>
        <v>0.99</v>
      </c>
    </row>
    <row r="170" spans="1:11" x14ac:dyDescent="0.3">
      <c r="A170">
        <v>18</v>
      </c>
      <c r="B170">
        <v>20.991460657916999</v>
      </c>
      <c r="C170">
        <v>89</v>
      </c>
      <c r="D170">
        <v>134</v>
      </c>
      <c r="E170">
        <v>0</v>
      </c>
      <c r="F170">
        <v>0</v>
      </c>
      <c r="G170">
        <v>0</v>
      </c>
      <c r="H170">
        <f>IF(OR(A170&lt;18, A170&gt;40, B170&gt;=30), 1, 0)</f>
        <v>0</v>
      </c>
      <c r="I170">
        <f t="shared" si="6"/>
        <v>0</v>
      </c>
      <c r="J170">
        <f t="shared" si="7"/>
        <v>1</v>
      </c>
      <c r="K170" t="str">
        <f t="shared" si="8"/>
        <v>0.33</v>
      </c>
    </row>
    <row r="171" spans="1:11" x14ac:dyDescent="0.3">
      <c r="A171">
        <v>31</v>
      </c>
      <c r="B171">
        <v>21.9653264229432</v>
      </c>
      <c r="C171">
        <v>73</v>
      </c>
      <c r="D171">
        <v>129</v>
      </c>
      <c r="E171">
        <v>0</v>
      </c>
      <c r="F171">
        <v>1</v>
      </c>
      <c r="G171">
        <v>0</v>
      </c>
      <c r="H171">
        <f>IF(OR(A171&lt;18, A171&gt;40, B171&gt;=30), 1, 0)</f>
        <v>0</v>
      </c>
      <c r="I171">
        <f t="shared" si="6"/>
        <v>1</v>
      </c>
      <c r="J171">
        <f t="shared" si="7"/>
        <v>1</v>
      </c>
      <c r="K171" t="str">
        <f t="shared" si="8"/>
        <v>0.66</v>
      </c>
    </row>
    <row r="172" spans="1:11" x14ac:dyDescent="0.3">
      <c r="A172">
        <v>23</v>
      </c>
      <c r="B172">
        <v>32.806435076312901</v>
      </c>
      <c r="C172">
        <v>78</v>
      </c>
      <c r="D172">
        <v>126</v>
      </c>
      <c r="E172">
        <v>0</v>
      </c>
      <c r="F172">
        <v>1</v>
      </c>
      <c r="G172">
        <v>1</v>
      </c>
      <c r="H172">
        <f>IF(OR(A172&lt;18, A172&gt;40, B172&gt;=30), 1, 0)</f>
        <v>1</v>
      </c>
      <c r="I172">
        <f t="shared" si="6"/>
        <v>1</v>
      </c>
      <c r="J172">
        <f t="shared" si="7"/>
        <v>1</v>
      </c>
      <c r="K172" t="str">
        <f t="shared" si="8"/>
        <v>0.99</v>
      </c>
    </row>
    <row r="173" spans="1:11" x14ac:dyDescent="0.3">
      <c r="A173">
        <v>32</v>
      </c>
      <c r="B173">
        <v>31.391817741098698</v>
      </c>
      <c r="C173">
        <v>80</v>
      </c>
      <c r="D173">
        <v>133</v>
      </c>
      <c r="E173">
        <v>1</v>
      </c>
      <c r="F173">
        <v>0</v>
      </c>
      <c r="G173">
        <v>1</v>
      </c>
      <c r="H173">
        <f>IF(OR(A173&lt;18, A173&gt;40, B173&gt;=30), 1, 0)</f>
        <v>1</v>
      </c>
      <c r="I173">
        <f t="shared" si="6"/>
        <v>1</v>
      </c>
      <c r="J173">
        <f t="shared" si="7"/>
        <v>1</v>
      </c>
      <c r="K173" t="str">
        <f t="shared" si="8"/>
        <v>0.99</v>
      </c>
    </row>
    <row r="174" spans="1:11" x14ac:dyDescent="0.3">
      <c r="A174">
        <v>25</v>
      </c>
      <c r="B174">
        <v>28.345789724039399</v>
      </c>
      <c r="C174">
        <v>84</v>
      </c>
      <c r="D174">
        <v>124</v>
      </c>
      <c r="E174">
        <v>0</v>
      </c>
      <c r="F174">
        <v>0</v>
      </c>
      <c r="G174">
        <v>0</v>
      </c>
      <c r="H174">
        <f>IF(OR(A174&lt;18, A174&gt;40, B174&gt;=30), 1, 0)</f>
        <v>0</v>
      </c>
      <c r="I174">
        <f t="shared" si="6"/>
        <v>0</v>
      </c>
      <c r="J174">
        <f t="shared" si="7"/>
        <v>1</v>
      </c>
      <c r="K174" t="str">
        <f t="shared" si="8"/>
        <v>0.33</v>
      </c>
    </row>
    <row r="175" spans="1:11" x14ac:dyDescent="0.3">
      <c r="A175">
        <v>28</v>
      </c>
      <c r="B175">
        <v>21.689528803103499</v>
      </c>
      <c r="C175">
        <v>75</v>
      </c>
      <c r="D175">
        <v>127</v>
      </c>
      <c r="E175">
        <v>0</v>
      </c>
      <c r="F175">
        <v>1</v>
      </c>
      <c r="G175">
        <v>0</v>
      </c>
      <c r="H175">
        <f>IF(OR(A175&lt;18, A175&gt;40, B175&gt;=30), 1, 0)</f>
        <v>0</v>
      </c>
      <c r="I175">
        <f t="shared" si="6"/>
        <v>1</v>
      </c>
      <c r="J175">
        <f t="shared" si="7"/>
        <v>1</v>
      </c>
      <c r="K175" t="str">
        <f t="shared" si="8"/>
        <v>0.66</v>
      </c>
    </row>
    <row r="176" spans="1:11" x14ac:dyDescent="0.3">
      <c r="A176">
        <v>33</v>
      </c>
      <c r="B176">
        <v>19.158237040616001</v>
      </c>
      <c r="C176">
        <v>89</v>
      </c>
      <c r="D176">
        <v>137</v>
      </c>
      <c r="E176">
        <v>1</v>
      </c>
      <c r="F176">
        <v>0</v>
      </c>
      <c r="G176">
        <v>1</v>
      </c>
      <c r="H176">
        <f>IF(OR(A176&lt;18, A176&gt;40, B176&gt;=30), 1, 0)</f>
        <v>0</v>
      </c>
      <c r="I176">
        <f t="shared" si="6"/>
        <v>1</v>
      </c>
      <c r="J176">
        <f t="shared" si="7"/>
        <v>1</v>
      </c>
      <c r="K176" t="str">
        <f t="shared" si="8"/>
        <v>0.66</v>
      </c>
    </row>
    <row r="177" spans="1:11" x14ac:dyDescent="0.3">
      <c r="A177">
        <v>28</v>
      </c>
      <c r="B177">
        <v>31.593323269265198</v>
      </c>
      <c r="C177">
        <v>82</v>
      </c>
      <c r="D177">
        <v>139</v>
      </c>
      <c r="E177">
        <v>0</v>
      </c>
      <c r="F177">
        <v>1</v>
      </c>
      <c r="G177">
        <v>1</v>
      </c>
      <c r="H177">
        <f>IF(OR(A177&lt;18, A177&gt;40, B177&gt;=30), 1, 0)</f>
        <v>1</v>
      </c>
      <c r="I177">
        <f t="shared" si="6"/>
        <v>1</v>
      </c>
      <c r="J177">
        <f t="shared" si="7"/>
        <v>1</v>
      </c>
      <c r="K177" t="str">
        <f t="shared" si="8"/>
        <v>0.99</v>
      </c>
    </row>
    <row r="178" spans="1:11" x14ac:dyDescent="0.3">
      <c r="A178">
        <v>22</v>
      </c>
      <c r="B178">
        <v>23.045768535714299</v>
      </c>
      <c r="C178">
        <v>84</v>
      </c>
      <c r="D178">
        <v>134</v>
      </c>
      <c r="E178">
        <v>1</v>
      </c>
      <c r="F178">
        <v>1</v>
      </c>
      <c r="G178">
        <v>1</v>
      </c>
      <c r="H178">
        <f>IF(OR(A178&lt;18, A178&gt;40, B178&gt;=30), 1, 0)</f>
        <v>0</v>
      </c>
      <c r="I178">
        <f t="shared" si="6"/>
        <v>1</v>
      </c>
      <c r="J178">
        <f t="shared" si="7"/>
        <v>1</v>
      </c>
      <c r="K178" t="str">
        <f t="shared" si="8"/>
        <v>0.66</v>
      </c>
    </row>
    <row r="179" spans="1:11" x14ac:dyDescent="0.3">
      <c r="A179">
        <v>18</v>
      </c>
      <c r="B179">
        <v>19.880490817613499</v>
      </c>
      <c r="C179">
        <v>80</v>
      </c>
      <c r="D179">
        <v>121</v>
      </c>
      <c r="E179">
        <v>1</v>
      </c>
      <c r="F179">
        <v>0</v>
      </c>
      <c r="G179">
        <v>0</v>
      </c>
      <c r="H179">
        <f>IF(OR(A179&lt;18, A179&gt;40, B179&gt;=30), 1, 0)</f>
        <v>0</v>
      </c>
      <c r="I179">
        <f t="shared" si="6"/>
        <v>1</v>
      </c>
      <c r="J179">
        <f t="shared" si="7"/>
        <v>1</v>
      </c>
      <c r="K179" t="str">
        <f t="shared" si="8"/>
        <v>0.66</v>
      </c>
    </row>
    <row r="180" spans="1:11" x14ac:dyDescent="0.3">
      <c r="A180">
        <v>24</v>
      </c>
      <c r="B180">
        <v>19.2275693434906</v>
      </c>
      <c r="C180">
        <v>87</v>
      </c>
      <c r="D180">
        <v>127</v>
      </c>
      <c r="E180">
        <v>0</v>
      </c>
      <c r="F180">
        <v>0</v>
      </c>
      <c r="G180">
        <v>0</v>
      </c>
      <c r="H180">
        <f>IF(OR(A180&lt;18, A180&gt;40, B180&gt;=30), 1, 0)</f>
        <v>0</v>
      </c>
      <c r="I180">
        <f t="shared" si="6"/>
        <v>0</v>
      </c>
      <c r="J180">
        <f t="shared" si="7"/>
        <v>1</v>
      </c>
      <c r="K180" t="str">
        <f t="shared" si="8"/>
        <v>0.33</v>
      </c>
    </row>
    <row r="181" spans="1:11" x14ac:dyDescent="0.3">
      <c r="A181">
        <v>29</v>
      </c>
      <c r="B181">
        <v>33.191434855495501</v>
      </c>
      <c r="C181">
        <v>72</v>
      </c>
      <c r="D181">
        <v>122</v>
      </c>
      <c r="E181">
        <v>1</v>
      </c>
      <c r="F181">
        <v>1</v>
      </c>
      <c r="G181">
        <v>1</v>
      </c>
      <c r="H181">
        <f>IF(OR(A181&lt;18, A181&gt;40, B181&gt;=30), 1, 0)</f>
        <v>1</v>
      </c>
      <c r="I181">
        <f t="shared" si="6"/>
        <v>1</v>
      </c>
      <c r="J181">
        <f t="shared" si="7"/>
        <v>1</v>
      </c>
      <c r="K181" t="str">
        <f t="shared" si="8"/>
        <v>0.99</v>
      </c>
    </row>
    <row r="182" spans="1:11" x14ac:dyDescent="0.3">
      <c r="A182">
        <v>21</v>
      </c>
      <c r="B182">
        <v>23.969956745302898</v>
      </c>
      <c r="C182">
        <v>78</v>
      </c>
      <c r="D182">
        <v>138</v>
      </c>
      <c r="E182">
        <v>1</v>
      </c>
      <c r="F182">
        <v>0</v>
      </c>
      <c r="G182">
        <v>1</v>
      </c>
      <c r="H182">
        <f>IF(OR(A182&lt;18, A182&gt;40, B182&gt;=30), 1, 0)</f>
        <v>0</v>
      </c>
      <c r="I182">
        <f t="shared" si="6"/>
        <v>1</v>
      </c>
      <c r="J182">
        <f t="shared" si="7"/>
        <v>1</v>
      </c>
      <c r="K182" t="str">
        <f t="shared" si="8"/>
        <v>0.66</v>
      </c>
    </row>
    <row r="183" spans="1:11" x14ac:dyDescent="0.3">
      <c r="A183">
        <v>26</v>
      </c>
      <c r="B183">
        <v>30.8797020703268</v>
      </c>
      <c r="C183">
        <v>87</v>
      </c>
      <c r="D183">
        <v>129</v>
      </c>
      <c r="E183">
        <v>0</v>
      </c>
      <c r="F183">
        <v>0</v>
      </c>
      <c r="G183">
        <v>1</v>
      </c>
      <c r="H183">
        <f>IF(OR(A183&lt;18, A183&gt;40, B183&gt;=30), 1, 0)</f>
        <v>1</v>
      </c>
      <c r="I183">
        <f t="shared" si="6"/>
        <v>1</v>
      </c>
      <c r="J183">
        <f t="shared" si="7"/>
        <v>1</v>
      </c>
      <c r="K183" t="str">
        <f t="shared" si="8"/>
        <v>0.99</v>
      </c>
    </row>
    <row r="184" spans="1:11" x14ac:dyDescent="0.3">
      <c r="A184">
        <v>27</v>
      </c>
      <c r="B184">
        <v>33.392241569683797</v>
      </c>
      <c r="C184">
        <v>87</v>
      </c>
      <c r="D184">
        <v>135</v>
      </c>
      <c r="E184">
        <v>0</v>
      </c>
      <c r="F184">
        <v>1</v>
      </c>
      <c r="G184">
        <v>0</v>
      </c>
      <c r="H184">
        <f>IF(OR(A184&lt;18, A184&gt;40, B184&gt;=30), 1, 0)</f>
        <v>1</v>
      </c>
      <c r="I184">
        <f t="shared" si="6"/>
        <v>1</v>
      </c>
      <c r="J184">
        <f t="shared" si="7"/>
        <v>1</v>
      </c>
      <c r="K184" t="str">
        <f t="shared" si="8"/>
        <v>0.99</v>
      </c>
    </row>
    <row r="185" spans="1:11" x14ac:dyDescent="0.3">
      <c r="A185">
        <v>25</v>
      </c>
      <c r="B185">
        <v>18.362813921284701</v>
      </c>
      <c r="C185">
        <v>72</v>
      </c>
      <c r="D185">
        <v>139</v>
      </c>
      <c r="E185">
        <v>1</v>
      </c>
      <c r="F185">
        <v>0</v>
      </c>
      <c r="G185">
        <v>1</v>
      </c>
      <c r="H185">
        <f>IF(OR(A185&lt;18, A185&gt;40, B185&gt;=30), 1, 0)</f>
        <v>0</v>
      </c>
      <c r="I185">
        <f t="shared" si="6"/>
        <v>1</v>
      </c>
      <c r="J185">
        <f t="shared" si="7"/>
        <v>1</v>
      </c>
      <c r="K185" t="str">
        <f t="shared" si="8"/>
        <v>0.66</v>
      </c>
    </row>
    <row r="186" spans="1:11" x14ac:dyDescent="0.3">
      <c r="A186">
        <v>19</v>
      </c>
      <c r="B186">
        <v>33.238991690161299</v>
      </c>
      <c r="C186">
        <v>74</v>
      </c>
      <c r="D186">
        <v>122</v>
      </c>
      <c r="E186">
        <v>1</v>
      </c>
      <c r="F186">
        <v>0</v>
      </c>
      <c r="G186">
        <v>1</v>
      </c>
      <c r="H186">
        <f>IF(OR(A186&lt;18, A186&gt;40, B186&gt;=30), 1, 0)</f>
        <v>1</v>
      </c>
      <c r="I186">
        <f t="shared" si="6"/>
        <v>1</v>
      </c>
      <c r="J186">
        <f t="shared" si="7"/>
        <v>1</v>
      </c>
      <c r="K186" t="str">
        <f t="shared" si="8"/>
        <v>0.99</v>
      </c>
    </row>
    <row r="187" spans="1:11" x14ac:dyDescent="0.3">
      <c r="A187">
        <v>20</v>
      </c>
      <c r="B187">
        <v>32.549592811537998</v>
      </c>
      <c r="C187">
        <v>81</v>
      </c>
      <c r="D187">
        <v>123</v>
      </c>
      <c r="E187">
        <v>1</v>
      </c>
      <c r="F187">
        <v>1</v>
      </c>
      <c r="G187">
        <v>0</v>
      </c>
      <c r="H187">
        <f>IF(OR(A187&lt;18, A187&gt;40, B187&gt;=30), 1, 0)</f>
        <v>1</v>
      </c>
      <c r="I187">
        <f t="shared" si="6"/>
        <v>1</v>
      </c>
      <c r="J187">
        <f t="shared" si="7"/>
        <v>1</v>
      </c>
      <c r="K187" t="str">
        <f t="shared" si="8"/>
        <v>0.99</v>
      </c>
    </row>
    <row r="188" spans="1:11" x14ac:dyDescent="0.3">
      <c r="A188">
        <v>21</v>
      </c>
      <c r="B188">
        <v>24.6030303457641</v>
      </c>
      <c r="C188">
        <v>75</v>
      </c>
      <c r="D188">
        <v>122</v>
      </c>
      <c r="E188">
        <v>1</v>
      </c>
      <c r="F188">
        <v>1</v>
      </c>
      <c r="G188">
        <v>1</v>
      </c>
      <c r="H188">
        <f>IF(OR(A188&lt;18, A188&gt;40, B188&gt;=30), 1, 0)</f>
        <v>0</v>
      </c>
      <c r="I188">
        <f t="shared" si="6"/>
        <v>1</v>
      </c>
      <c r="J188">
        <f t="shared" si="7"/>
        <v>1</v>
      </c>
      <c r="K188" t="str">
        <f t="shared" si="8"/>
        <v>0.66</v>
      </c>
    </row>
    <row r="189" spans="1:11" x14ac:dyDescent="0.3">
      <c r="A189">
        <v>33</v>
      </c>
      <c r="B189">
        <v>23.188213978701899</v>
      </c>
      <c r="C189">
        <v>78</v>
      </c>
      <c r="D189">
        <v>120</v>
      </c>
      <c r="E189">
        <v>0</v>
      </c>
      <c r="F189">
        <v>1</v>
      </c>
      <c r="G189">
        <v>1</v>
      </c>
      <c r="H189">
        <f>IF(OR(A189&lt;18, A189&gt;40, B189&gt;=30), 1, 0)</f>
        <v>0</v>
      </c>
      <c r="I189">
        <f t="shared" si="6"/>
        <v>1</v>
      </c>
      <c r="J189">
        <f t="shared" si="7"/>
        <v>1</v>
      </c>
      <c r="K189" t="str">
        <f t="shared" si="8"/>
        <v>0.66</v>
      </c>
    </row>
    <row r="190" spans="1:11" x14ac:dyDescent="0.3">
      <c r="A190">
        <v>26</v>
      </c>
      <c r="B190">
        <v>26.4972191726843</v>
      </c>
      <c r="C190">
        <v>73</v>
      </c>
      <c r="D190">
        <v>134</v>
      </c>
      <c r="E190">
        <v>1</v>
      </c>
      <c r="F190">
        <v>0</v>
      </c>
      <c r="G190">
        <v>0</v>
      </c>
      <c r="H190">
        <f>IF(OR(A190&lt;18, A190&gt;40, B190&gt;=30), 1, 0)</f>
        <v>0</v>
      </c>
      <c r="I190">
        <f t="shared" si="6"/>
        <v>1</v>
      </c>
      <c r="J190">
        <f t="shared" si="7"/>
        <v>1</v>
      </c>
      <c r="K190" t="str">
        <f t="shared" si="8"/>
        <v>0.66</v>
      </c>
    </row>
    <row r="191" spans="1:11" x14ac:dyDescent="0.3">
      <c r="A191">
        <v>18</v>
      </c>
      <c r="B191">
        <v>31.070576791569099</v>
      </c>
      <c r="C191">
        <v>77</v>
      </c>
      <c r="D191">
        <v>132</v>
      </c>
      <c r="E191">
        <v>0</v>
      </c>
      <c r="F191">
        <v>0</v>
      </c>
      <c r="G191">
        <v>0</v>
      </c>
      <c r="H191">
        <f>IF(OR(A191&lt;18, A191&gt;40, B191&gt;=30), 1, 0)</f>
        <v>1</v>
      </c>
      <c r="I191">
        <f t="shared" si="6"/>
        <v>0</v>
      </c>
      <c r="J191">
        <f t="shared" si="7"/>
        <v>1</v>
      </c>
      <c r="K191" t="str">
        <f t="shared" si="8"/>
        <v>0.66</v>
      </c>
    </row>
    <row r="192" spans="1:11" x14ac:dyDescent="0.3">
      <c r="A192">
        <v>30</v>
      </c>
      <c r="B192">
        <v>28.428075034664801</v>
      </c>
      <c r="C192">
        <v>87</v>
      </c>
      <c r="D192">
        <v>136</v>
      </c>
      <c r="E192">
        <v>0</v>
      </c>
      <c r="F192">
        <v>1</v>
      </c>
      <c r="G192">
        <v>0</v>
      </c>
      <c r="H192">
        <f>IF(OR(A192&lt;18, A192&gt;40, B192&gt;=30), 1, 0)</f>
        <v>0</v>
      </c>
      <c r="I192">
        <f t="shared" si="6"/>
        <v>1</v>
      </c>
      <c r="J192">
        <f t="shared" si="7"/>
        <v>1</v>
      </c>
      <c r="K192" t="str">
        <f t="shared" si="8"/>
        <v>0.66</v>
      </c>
    </row>
    <row r="193" spans="1:11" x14ac:dyDescent="0.3">
      <c r="A193">
        <v>18</v>
      </c>
      <c r="B193">
        <v>30.903413723318099</v>
      </c>
      <c r="C193">
        <v>80</v>
      </c>
      <c r="D193">
        <v>127</v>
      </c>
      <c r="E193">
        <v>1</v>
      </c>
      <c r="F193">
        <v>1</v>
      </c>
      <c r="G193">
        <v>0</v>
      </c>
      <c r="H193">
        <f>IF(OR(A193&lt;18, A193&gt;40, B193&gt;=30), 1, 0)</f>
        <v>1</v>
      </c>
      <c r="I193">
        <f t="shared" si="6"/>
        <v>1</v>
      </c>
      <c r="J193">
        <f t="shared" si="7"/>
        <v>1</v>
      </c>
      <c r="K193" t="str">
        <f t="shared" si="8"/>
        <v>0.99</v>
      </c>
    </row>
    <row r="194" spans="1:11" x14ac:dyDescent="0.3">
      <c r="A194">
        <v>33</v>
      </c>
      <c r="B194">
        <v>28.954034579270601</v>
      </c>
      <c r="C194">
        <v>82</v>
      </c>
      <c r="D194">
        <v>139</v>
      </c>
      <c r="E194">
        <v>0</v>
      </c>
      <c r="F194">
        <v>1</v>
      </c>
      <c r="G194">
        <v>1</v>
      </c>
      <c r="H194">
        <f>IF(OR(A194&lt;18, A194&gt;40, B194&gt;=30), 1, 0)</f>
        <v>0</v>
      </c>
      <c r="I194">
        <f t="shared" si="6"/>
        <v>1</v>
      </c>
      <c r="J194">
        <f t="shared" si="7"/>
        <v>1</v>
      </c>
      <c r="K194" t="str">
        <f t="shared" si="8"/>
        <v>0.66</v>
      </c>
    </row>
    <row r="195" spans="1:11" x14ac:dyDescent="0.3">
      <c r="A195">
        <v>34</v>
      </c>
      <c r="B195">
        <v>33.922891620549102</v>
      </c>
      <c r="C195">
        <v>85</v>
      </c>
      <c r="D195">
        <v>131</v>
      </c>
      <c r="E195">
        <v>0</v>
      </c>
      <c r="F195">
        <v>1</v>
      </c>
      <c r="G195">
        <v>1</v>
      </c>
      <c r="H195">
        <f>IF(OR(A195&lt;18, A195&gt;40, B195&gt;=30), 1, 0)</f>
        <v>1</v>
      </c>
      <c r="I195">
        <f t="shared" ref="I195:I258" si="9">IF(OR(E195=1, F195=1, G195=1), 1, 0)</f>
        <v>1</v>
      </c>
      <c r="J195">
        <f t="shared" ref="J195:J258" si="10">IF(OR(C195&gt;=140, D195&gt;=90), 1, 0)</f>
        <v>1</v>
      </c>
      <c r="K195" t="str">
        <f t="shared" ref="K195:K258" si="11">IF((H195+I195+J195)=3, "0.99", IF((H195+I195+J195)=2, "0.66", IF((H195+I195+J195)=1, "0.33", "0.0")))</f>
        <v>0.99</v>
      </c>
    </row>
    <row r="196" spans="1:11" x14ac:dyDescent="0.3">
      <c r="A196">
        <v>18</v>
      </c>
      <c r="B196">
        <v>22.925729800699202</v>
      </c>
      <c r="C196">
        <v>87</v>
      </c>
      <c r="D196">
        <v>120</v>
      </c>
      <c r="E196">
        <v>0</v>
      </c>
      <c r="F196">
        <v>1</v>
      </c>
      <c r="G196">
        <v>0</v>
      </c>
      <c r="H196">
        <f>IF(OR(A196&lt;18, A196&gt;40, B196&gt;=30), 1, 0)</f>
        <v>0</v>
      </c>
      <c r="I196">
        <f t="shared" si="9"/>
        <v>1</v>
      </c>
      <c r="J196">
        <f t="shared" si="10"/>
        <v>1</v>
      </c>
      <c r="K196" t="str">
        <f t="shared" si="11"/>
        <v>0.66</v>
      </c>
    </row>
    <row r="197" spans="1:11" x14ac:dyDescent="0.3">
      <c r="A197">
        <v>25</v>
      </c>
      <c r="B197">
        <v>22.420220976203101</v>
      </c>
      <c r="C197">
        <v>89</v>
      </c>
      <c r="D197">
        <v>136</v>
      </c>
      <c r="E197">
        <v>1</v>
      </c>
      <c r="F197">
        <v>0</v>
      </c>
      <c r="G197">
        <v>1</v>
      </c>
      <c r="H197">
        <f>IF(OR(A197&lt;18, A197&gt;40, B197&gt;=30), 1, 0)</f>
        <v>0</v>
      </c>
      <c r="I197">
        <f t="shared" si="9"/>
        <v>1</v>
      </c>
      <c r="J197">
        <f t="shared" si="10"/>
        <v>1</v>
      </c>
      <c r="K197" t="str">
        <f t="shared" si="11"/>
        <v>0.66</v>
      </c>
    </row>
    <row r="198" spans="1:11" x14ac:dyDescent="0.3">
      <c r="A198">
        <v>18</v>
      </c>
      <c r="B198">
        <v>29.7478794234414</v>
      </c>
      <c r="C198">
        <v>75</v>
      </c>
      <c r="D198">
        <v>138</v>
      </c>
      <c r="E198">
        <v>0</v>
      </c>
      <c r="F198">
        <v>0</v>
      </c>
      <c r="G198">
        <v>0</v>
      </c>
      <c r="H198">
        <f>IF(OR(A198&lt;18, A198&gt;40, B198&gt;=30), 1, 0)</f>
        <v>0</v>
      </c>
      <c r="I198">
        <f t="shared" si="9"/>
        <v>0</v>
      </c>
      <c r="J198">
        <f t="shared" si="10"/>
        <v>1</v>
      </c>
      <c r="K198" t="str">
        <f t="shared" si="11"/>
        <v>0.33</v>
      </c>
    </row>
    <row r="199" spans="1:11" x14ac:dyDescent="0.3">
      <c r="A199">
        <v>30</v>
      </c>
      <c r="B199">
        <v>28.362384269660801</v>
      </c>
      <c r="C199">
        <v>78</v>
      </c>
      <c r="D199">
        <v>120</v>
      </c>
      <c r="E199">
        <v>1</v>
      </c>
      <c r="F199">
        <v>0</v>
      </c>
      <c r="G199">
        <v>0</v>
      </c>
      <c r="H199">
        <f>IF(OR(A199&lt;18, A199&gt;40, B199&gt;=30), 1, 0)</f>
        <v>0</v>
      </c>
      <c r="I199">
        <f t="shared" si="9"/>
        <v>1</v>
      </c>
      <c r="J199">
        <f t="shared" si="10"/>
        <v>1</v>
      </c>
      <c r="K199" t="str">
        <f t="shared" si="11"/>
        <v>0.66</v>
      </c>
    </row>
    <row r="200" spans="1:11" x14ac:dyDescent="0.3">
      <c r="A200">
        <v>26</v>
      </c>
      <c r="B200">
        <v>34.424474127944002</v>
      </c>
      <c r="C200">
        <v>82</v>
      </c>
      <c r="D200">
        <v>125</v>
      </c>
      <c r="E200">
        <v>1</v>
      </c>
      <c r="F200">
        <v>0</v>
      </c>
      <c r="G200">
        <v>0</v>
      </c>
      <c r="H200">
        <f>IF(OR(A200&lt;18, A200&gt;40, B200&gt;=30), 1, 0)</f>
        <v>1</v>
      </c>
      <c r="I200">
        <f t="shared" si="9"/>
        <v>1</v>
      </c>
      <c r="J200">
        <f t="shared" si="10"/>
        <v>1</v>
      </c>
      <c r="K200" t="str">
        <f t="shared" si="11"/>
        <v>0.99</v>
      </c>
    </row>
    <row r="201" spans="1:11" x14ac:dyDescent="0.3">
      <c r="A201">
        <v>33</v>
      </c>
      <c r="B201">
        <v>28.803907471125399</v>
      </c>
      <c r="C201">
        <v>77</v>
      </c>
      <c r="D201">
        <v>125</v>
      </c>
      <c r="E201">
        <v>1</v>
      </c>
      <c r="F201">
        <v>1</v>
      </c>
      <c r="G201">
        <v>0</v>
      </c>
      <c r="H201">
        <f>IF(OR(A201&lt;18, A201&gt;40, B201&gt;=30), 1, 0)</f>
        <v>0</v>
      </c>
      <c r="I201">
        <f t="shared" si="9"/>
        <v>1</v>
      </c>
      <c r="J201">
        <f t="shared" si="10"/>
        <v>1</v>
      </c>
      <c r="K201" t="str">
        <f t="shared" si="11"/>
        <v>0.66</v>
      </c>
    </row>
    <row r="202" spans="1:11" x14ac:dyDescent="0.3">
      <c r="A202">
        <v>18</v>
      </c>
      <c r="B202">
        <v>22.412634834249499</v>
      </c>
      <c r="C202">
        <v>81</v>
      </c>
      <c r="D202">
        <v>127</v>
      </c>
      <c r="E202">
        <v>0</v>
      </c>
      <c r="F202">
        <v>0</v>
      </c>
      <c r="G202">
        <v>1</v>
      </c>
      <c r="H202">
        <f>IF(OR(A202&lt;18, A202&gt;40, B202&gt;=30), 1, 0)</f>
        <v>0</v>
      </c>
      <c r="I202">
        <f t="shared" si="9"/>
        <v>1</v>
      </c>
      <c r="J202">
        <f t="shared" si="10"/>
        <v>1</v>
      </c>
      <c r="K202" t="str">
        <f t="shared" si="11"/>
        <v>0.66</v>
      </c>
    </row>
    <row r="203" spans="1:11" x14ac:dyDescent="0.3">
      <c r="A203">
        <v>31</v>
      </c>
      <c r="B203">
        <v>26.4328374263645</v>
      </c>
      <c r="C203">
        <v>70</v>
      </c>
      <c r="D203">
        <v>124</v>
      </c>
      <c r="E203">
        <v>1</v>
      </c>
      <c r="F203">
        <v>1</v>
      </c>
      <c r="G203">
        <v>0</v>
      </c>
      <c r="H203">
        <f>IF(OR(A203&lt;18, A203&gt;40, B203&gt;=30), 1, 0)</f>
        <v>0</v>
      </c>
      <c r="I203">
        <f t="shared" si="9"/>
        <v>1</v>
      </c>
      <c r="J203">
        <f t="shared" si="10"/>
        <v>1</v>
      </c>
      <c r="K203" t="str">
        <f t="shared" si="11"/>
        <v>0.66</v>
      </c>
    </row>
    <row r="204" spans="1:11" x14ac:dyDescent="0.3">
      <c r="A204">
        <v>18</v>
      </c>
      <c r="B204">
        <v>24.816276155401699</v>
      </c>
      <c r="C204">
        <v>73</v>
      </c>
      <c r="D204">
        <v>121</v>
      </c>
      <c r="E204">
        <v>1</v>
      </c>
      <c r="F204">
        <v>0</v>
      </c>
      <c r="G204">
        <v>1</v>
      </c>
      <c r="H204">
        <f>IF(OR(A204&lt;18, A204&gt;40, B204&gt;=30), 1, 0)</f>
        <v>0</v>
      </c>
      <c r="I204">
        <f t="shared" si="9"/>
        <v>1</v>
      </c>
      <c r="J204">
        <f t="shared" si="10"/>
        <v>1</v>
      </c>
      <c r="K204" t="str">
        <f t="shared" si="11"/>
        <v>0.66</v>
      </c>
    </row>
    <row r="205" spans="1:11" x14ac:dyDescent="0.3">
      <c r="A205">
        <v>19</v>
      </c>
      <c r="B205">
        <v>33.291158984575098</v>
      </c>
      <c r="C205">
        <v>76</v>
      </c>
      <c r="D205">
        <v>130</v>
      </c>
      <c r="E205">
        <v>0</v>
      </c>
      <c r="F205">
        <v>0</v>
      </c>
      <c r="G205">
        <v>1</v>
      </c>
      <c r="H205">
        <f>IF(OR(A205&lt;18, A205&gt;40, B205&gt;=30), 1, 0)</f>
        <v>1</v>
      </c>
      <c r="I205">
        <f t="shared" si="9"/>
        <v>1</v>
      </c>
      <c r="J205">
        <f t="shared" si="10"/>
        <v>1</v>
      </c>
      <c r="K205" t="str">
        <f t="shared" si="11"/>
        <v>0.99</v>
      </c>
    </row>
    <row r="206" spans="1:11" x14ac:dyDescent="0.3">
      <c r="A206">
        <v>34</v>
      </c>
      <c r="B206">
        <v>18.3282621028536</v>
      </c>
      <c r="C206">
        <v>80</v>
      </c>
      <c r="D206">
        <v>137</v>
      </c>
      <c r="E206">
        <v>1</v>
      </c>
      <c r="F206">
        <v>0</v>
      </c>
      <c r="G206">
        <v>0</v>
      </c>
      <c r="H206">
        <f>IF(OR(A206&lt;18, A206&gt;40, B206&gt;=30), 1, 0)</f>
        <v>0</v>
      </c>
      <c r="I206">
        <f t="shared" si="9"/>
        <v>1</v>
      </c>
      <c r="J206">
        <f t="shared" si="10"/>
        <v>1</v>
      </c>
      <c r="K206" t="str">
        <f t="shared" si="11"/>
        <v>0.66</v>
      </c>
    </row>
    <row r="207" spans="1:11" x14ac:dyDescent="0.3">
      <c r="A207">
        <v>25</v>
      </c>
      <c r="B207">
        <v>18.129957605708199</v>
      </c>
      <c r="C207">
        <v>87</v>
      </c>
      <c r="D207">
        <v>131</v>
      </c>
      <c r="E207">
        <v>1</v>
      </c>
      <c r="F207">
        <v>0</v>
      </c>
      <c r="G207">
        <v>0</v>
      </c>
      <c r="H207">
        <f>IF(OR(A207&lt;18, A207&gt;40, B207&gt;=30), 1, 0)</f>
        <v>0</v>
      </c>
      <c r="I207">
        <f t="shared" si="9"/>
        <v>1</v>
      </c>
      <c r="J207">
        <f t="shared" si="10"/>
        <v>1</v>
      </c>
      <c r="K207" t="str">
        <f t="shared" si="11"/>
        <v>0.66</v>
      </c>
    </row>
    <row r="208" spans="1:11" x14ac:dyDescent="0.3">
      <c r="A208">
        <v>34</v>
      </c>
      <c r="B208">
        <v>23.8162111307626</v>
      </c>
      <c r="C208">
        <v>88</v>
      </c>
      <c r="D208">
        <v>130</v>
      </c>
      <c r="E208">
        <v>0</v>
      </c>
      <c r="F208">
        <v>1</v>
      </c>
      <c r="G208">
        <v>0</v>
      </c>
      <c r="H208">
        <f>IF(OR(A208&lt;18, A208&gt;40, B208&gt;=30), 1, 0)</f>
        <v>0</v>
      </c>
      <c r="I208">
        <f t="shared" si="9"/>
        <v>1</v>
      </c>
      <c r="J208">
        <f t="shared" si="10"/>
        <v>1</v>
      </c>
      <c r="K208" t="str">
        <f t="shared" si="11"/>
        <v>0.66</v>
      </c>
    </row>
    <row r="209" spans="1:11" x14ac:dyDescent="0.3">
      <c r="A209">
        <v>28</v>
      </c>
      <c r="B209">
        <v>32.7270232958588</v>
      </c>
      <c r="C209">
        <v>86</v>
      </c>
      <c r="D209">
        <v>139</v>
      </c>
      <c r="E209">
        <v>1</v>
      </c>
      <c r="F209">
        <v>1</v>
      </c>
      <c r="G209">
        <v>0</v>
      </c>
      <c r="H209">
        <f>IF(OR(A209&lt;18, A209&gt;40, B209&gt;=30), 1, 0)</f>
        <v>1</v>
      </c>
      <c r="I209">
        <f t="shared" si="9"/>
        <v>1</v>
      </c>
      <c r="J209">
        <f t="shared" si="10"/>
        <v>1</v>
      </c>
      <c r="K209" t="str">
        <f t="shared" si="11"/>
        <v>0.99</v>
      </c>
    </row>
    <row r="210" spans="1:11" x14ac:dyDescent="0.3">
      <c r="A210">
        <v>23</v>
      </c>
      <c r="B210">
        <v>24.692879959182701</v>
      </c>
      <c r="C210">
        <v>88</v>
      </c>
      <c r="D210">
        <v>129</v>
      </c>
      <c r="E210">
        <v>1</v>
      </c>
      <c r="F210">
        <v>1</v>
      </c>
      <c r="G210">
        <v>1</v>
      </c>
      <c r="H210">
        <f>IF(OR(A210&lt;18, A210&gt;40, B210&gt;=30), 1, 0)</f>
        <v>0</v>
      </c>
      <c r="I210">
        <f t="shared" si="9"/>
        <v>1</v>
      </c>
      <c r="J210">
        <f t="shared" si="10"/>
        <v>1</v>
      </c>
      <c r="K210" t="str">
        <f t="shared" si="11"/>
        <v>0.66</v>
      </c>
    </row>
    <row r="211" spans="1:11" x14ac:dyDescent="0.3">
      <c r="A211">
        <v>34</v>
      </c>
      <c r="B211">
        <v>27.8659518440239</v>
      </c>
      <c r="C211">
        <v>70</v>
      </c>
      <c r="D211">
        <v>120</v>
      </c>
      <c r="E211">
        <v>1</v>
      </c>
      <c r="F211">
        <v>1</v>
      </c>
      <c r="G211">
        <v>0</v>
      </c>
      <c r="H211">
        <f>IF(OR(A211&lt;18, A211&gt;40, B211&gt;=30), 1, 0)</f>
        <v>0</v>
      </c>
      <c r="I211">
        <f t="shared" si="9"/>
        <v>1</v>
      </c>
      <c r="J211">
        <f t="shared" si="10"/>
        <v>1</v>
      </c>
      <c r="K211" t="str">
        <f t="shared" si="11"/>
        <v>0.66</v>
      </c>
    </row>
    <row r="212" spans="1:11" x14ac:dyDescent="0.3">
      <c r="A212">
        <v>27</v>
      </c>
      <c r="B212">
        <v>23.616543173439599</v>
      </c>
      <c r="C212">
        <v>73</v>
      </c>
      <c r="D212">
        <v>120</v>
      </c>
      <c r="E212">
        <v>1</v>
      </c>
      <c r="F212">
        <v>1</v>
      </c>
      <c r="G212">
        <v>1</v>
      </c>
      <c r="H212">
        <f>IF(OR(A212&lt;18, A212&gt;40, B212&gt;=30), 1, 0)</f>
        <v>0</v>
      </c>
      <c r="I212">
        <f t="shared" si="9"/>
        <v>1</v>
      </c>
      <c r="J212">
        <f t="shared" si="10"/>
        <v>1</v>
      </c>
      <c r="K212" t="str">
        <f t="shared" si="11"/>
        <v>0.66</v>
      </c>
    </row>
    <row r="213" spans="1:11" x14ac:dyDescent="0.3">
      <c r="A213">
        <v>24</v>
      </c>
      <c r="B213">
        <v>27.280241674648501</v>
      </c>
      <c r="C213">
        <v>87</v>
      </c>
      <c r="D213">
        <v>130</v>
      </c>
      <c r="E213">
        <v>1</v>
      </c>
      <c r="F213">
        <v>0</v>
      </c>
      <c r="G213">
        <v>0</v>
      </c>
      <c r="H213">
        <f>IF(OR(A213&lt;18, A213&gt;40, B213&gt;=30), 1, 0)</f>
        <v>0</v>
      </c>
      <c r="I213">
        <f t="shared" si="9"/>
        <v>1</v>
      </c>
      <c r="J213">
        <f t="shared" si="10"/>
        <v>1</v>
      </c>
      <c r="K213" t="str">
        <f t="shared" si="11"/>
        <v>0.66</v>
      </c>
    </row>
    <row r="214" spans="1:11" x14ac:dyDescent="0.3">
      <c r="A214">
        <v>20</v>
      </c>
      <c r="B214">
        <v>18.864333425092902</v>
      </c>
      <c r="C214">
        <v>74</v>
      </c>
      <c r="D214">
        <v>135</v>
      </c>
      <c r="E214">
        <v>1</v>
      </c>
      <c r="F214">
        <v>0</v>
      </c>
      <c r="G214">
        <v>0</v>
      </c>
      <c r="H214">
        <f>IF(OR(A214&lt;18, A214&gt;40, B214&gt;=30), 1, 0)</f>
        <v>0</v>
      </c>
      <c r="I214">
        <f t="shared" si="9"/>
        <v>1</v>
      </c>
      <c r="J214">
        <f t="shared" si="10"/>
        <v>1</v>
      </c>
      <c r="K214" t="str">
        <f t="shared" si="11"/>
        <v>0.66</v>
      </c>
    </row>
    <row r="215" spans="1:11" x14ac:dyDescent="0.3">
      <c r="A215">
        <v>28</v>
      </c>
      <c r="B215">
        <v>26.299773442121499</v>
      </c>
      <c r="C215">
        <v>72</v>
      </c>
      <c r="D215">
        <v>120</v>
      </c>
      <c r="E215">
        <v>0</v>
      </c>
      <c r="F215">
        <v>0</v>
      </c>
      <c r="G215">
        <v>1</v>
      </c>
      <c r="H215">
        <f>IF(OR(A215&lt;18, A215&gt;40, B215&gt;=30), 1, 0)</f>
        <v>0</v>
      </c>
      <c r="I215">
        <f t="shared" si="9"/>
        <v>1</v>
      </c>
      <c r="J215">
        <f t="shared" si="10"/>
        <v>1</v>
      </c>
      <c r="K215" t="str">
        <f t="shared" si="11"/>
        <v>0.66</v>
      </c>
    </row>
    <row r="216" spans="1:11" x14ac:dyDescent="0.3">
      <c r="A216">
        <v>30</v>
      </c>
      <c r="B216">
        <v>21.497456067064601</v>
      </c>
      <c r="C216">
        <v>73</v>
      </c>
      <c r="D216">
        <v>138</v>
      </c>
      <c r="E216">
        <v>1</v>
      </c>
      <c r="F216">
        <v>1</v>
      </c>
      <c r="G216">
        <v>0</v>
      </c>
      <c r="H216">
        <f>IF(OR(A216&lt;18, A216&gt;40, B216&gt;=30), 1, 0)</f>
        <v>0</v>
      </c>
      <c r="I216">
        <f t="shared" si="9"/>
        <v>1</v>
      </c>
      <c r="J216">
        <f t="shared" si="10"/>
        <v>1</v>
      </c>
      <c r="K216" t="str">
        <f t="shared" si="11"/>
        <v>0.66</v>
      </c>
    </row>
    <row r="217" spans="1:11" x14ac:dyDescent="0.3">
      <c r="A217">
        <v>24</v>
      </c>
      <c r="B217">
        <v>19.595980528352001</v>
      </c>
      <c r="C217">
        <v>71</v>
      </c>
      <c r="D217">
        <v>131</v>
      </c>
      <c r="E217">
        <v>0</v>
      </c>
      <c r="F217">
        <v>0</v>
      </c>
      <c r="G217">
        <v>1</v>
      </c>
      <c r="H217">
        <f>IF(OR(A217&lt;18, A217&gt;40, B217&gt;=30), 1, 0)</f>
        <v>0</v>
      </c>
      <c r="I217">
        <f t="shared" si="9"/>
        <v>1</v>
      </c>
      <c r="J217">
        <f t="shared" si="10"/>
        <v>1</v>
      </c>
      <c r="K217" t="str">
        <f t="shared" si="11"/>
        <v>0.66</v>
      </c>
    </row>
    <row r="218" spans="1:11" x14ac:dyDescent="0.3">
      <c r="A218">
        <v>22</v>
      </c>
      <c r="B218">
        <v>24.9588839146517</v>
      </c>
      <c r="C218">
        <v>85</v>
      </c>
      <c r="D218">
        <v>135</v>
      </c>
      <c r="E218">
        <v>0</v>
      </c>
      <c r="F218">
        <v>0</v>
      </c>
      <c r="G218">
        <v>1</v>
      </c>
      <c r="H218">
        <f>IF(OR(A218&lt;18, A218&gt;40, B218&gt;=30), 1, 0)</f>
        <v>0</v>
      </c>
      <c r="I218">
        <f t="shared" si="9"/>
        <v>1</v>
      </c>
      <c r="J218">
        <f t="shared" si="10"/>
        <v>1</v>
      </c>
      <c r="K218" t="str">
        <f t="shared" si="11"/>
        <v>0.66</v>
      </c>
    </row>
    <row r="219" spans="1:11" x14ac:dyDescent="0.3">
      <c r="A219">
        <v>18</v>
      </c>
      <c r="B219">
        <v>32.789776392750298</v>
      </c>
      <c r="C219">
        <v>75</v>
      </c>
      <c r="D219">
        <v>121</v>
      </c>
      <c r="E219">
        <v>0</v>
      </c>
      <c r="F219">
        <v>1</v>
      </c>
      <c r="G219">
        <v>1</v>
      </c>
      <c r="H219">
        <f>IF(OR(A219&lt;18, A219&gt;40, B219&gt;=30), 1, 0)</f>
        <v>1</v>
      </c>
      <c r="I219">
        <f t="shared" si="9"/>
        <v>1</v>
      </c>
      <c r="J219">
        <f t="shared" si="10"/>
        <v>1</v>
      </c>
      <c r="K219" t="str">
        <f t="shared" si="11"/>
        <v>0.99</v>
      </c>
    </row>
    <row r="220" spans="1:11" x14ac:dyDescent="0.3">
      <c r="A220">
        <v>19</v>
      </c>
      <c r="B220">
        <v>30.384625898057799</v>
      </c>
      <c r="C220">
        <v>86</v>
      </c>
      <c r="D220">
        <v>127</v>
      </c>
      <c r="E220">
        <v>0</v>
      </c>
      <c r="F220">
        <v>0</v>
      </c>
      <c r="G220">
        <v>1</v>
      </c>
      <c r="H220">
        <f>IF(OR(A220&lt;18, A220&gt;40, B220&gt;=30), 1, 0)</f>
        <v>1</v>
      </c>
      <c r="I220">
        <f t="shared" si="9"/>
        <v>1</v>
      </c>
      <c r="J220">
        <f t="shared" si="10"/>
        <v>1</v>
      </c>
      <c r="K220" t="str">
        <f t="shared" si="11"/>
        <v>0.99</v>
      </c>
    </row>
    <row r="221" spans="1:11" x14ac:dyDescent="0.3">
      <c r="A221">
        <v>29</v>
      </c>
      <c r="B221">
        <v>18.413692450347899</v>
      </c>
      <c r="C221">
        <v>73</v>
      </c>
      <c r="D221">
        <v>126</v>
      </c>
      <c r="E221">
        <v>1</v>
      </c>
      <c r="F221">
        <v>0</v>
      </c>
      <c r="G221">
        <v>1</v>
      </c>
      <c r="H221">
        <f>IF(OR(A221&lt;18, A221&gt;40, B221&gt;=30), 1, 0)</f>
        <v>0</v>
      </c>
      <c r="I221">
        <f t="shared" si="9"/>
        <v>1</v>
      </c>
      <c r="J221">
        <f t="shared" si="10"/>
        <v>1</v>
      </c>
      <c r="K221" t="str">
        <f t="shared" si="11"/>
        <v>0.66</v>
      </c>
    </row>
    <row r="222" spans="1:11" x14ac:dyDescent="0.3">
      <c r="A222">
        <v>18</v>
      </c>
      <c r="B222">
        <v>28.089835515459999</v>
      </c>
      <c r="C222">
        <v>72</v>
      </c>
      <c r="D222">
        <v>125</v>
      </c>
      <c r="E222">
        <v>1</v>
      </c>
      <c r="F222">
        <v>0</v>
      </c>
      <c r="G222">
        <v>0</v>
      </c>
      <c r="H222">
        <f>IF(OR(A222&lt;18, A222&gt;40, B222&gt;=30), 1, 0)</f>
        <v>0</v>
      </c>
      <c r="I222">
        <f t="shared" si="9"/>
        <v>1</v>
      </c>
      <c r="J222">
        <f t="shared" si="10"/>
        <v>1</v>
      </c>
      <c r="K222" t="str">
        <f t="shared" si="11"/>
        <v>0.66</v>
      </c>
    </row>
    <row r="223" spans="1:11" x14ac:dyDescent="0.3">
      <c r="A223">
        <v>23</v>
      </c>
      <c r="B223">
        <v>29.884729896665998</v>
      </c>
      <c r="C223">
        <v>74</v>
      </c>
      <c r="D223">
        <v>139</v>
      </c>
      <c r="E223">
        <v>0</v>
      </c>
      <c r="F223">
        <v>1</v>
      </c>
      <c r="G223">
        <v>0</v>
      </c>
      <c r="H223">
        <f>IF(OR(A223&lt;18, A223&gt;40, B223&gt;=30), 1, 0)</f>
        <v>0</v>
      </c>
      <c r="I223">
        <f t="shared" si="9"/>
        <v>1</v>
      </c>
      <c r="J223">
        <f t="shared" si="10"/>
        <v>1</v>
      </c>
      <c r="K223" t="str">
        <f t="shared" si="11"/>
        <v>0.66</v>
      </c>
    </row>
    <row r="224" spans="1:11" x14ac:dyDescent="0.3">
      <c r="A224">
        <v>25</v>
      </c>
      <c r="B224">
        <v>33.771593287096003</v>
      </c>
      <c r="C224">
        <v>72</v>
      </c>
      <c r="D224">
        <v>120</v>
      </c>
      <c r="E224">
        <v>1</v>
      </c>
      <c r="F224">
        <v>1</v>
      </c>
      <c r="G224">
        <v>0</v>
      </c>
      <c r="H224">
        <f>IF(OR(A224&lt;18, A224&gt;40, B224&gt;=30), 1, 0)</f>
        <v>1</v>
      </c>
      <c r="I224">
        <f t="shared" si="9"/>
        <v>1</v>
      </c>
      <c r="J224">
        <f t="shared" si="10"/>
        <v>1</v>
      </c>
      <c r="K224" t="str">
        <f t="shared" si="11"/>
        <v>0.99</v>
      </c>
    </row>
    <row r="225" spans="1:11" x14ac:dyDescent="0.3">
      <c r="A225">
        <v>29</v>
      </c>
      <c r="B225">
        <v>25.1472211776845</v>
      </c>
      <c r="C225">
        <v>72</v>
      </c>
      <c r="D225">
        <v>135</v>
      </c>
      <c r="E225">
        <v>0</v>
      </c>
      <c r="F225">
        <v>1</v>
      </c>
      <c r="G225">
        <v>1</v>
      </c>
      <c r="H225">
        <f>IF(OR(A225&lt;18, A225&gt;40, B225&gt;=30), 1, 0)</f>
        <v>0</v>
      </c>
      <c r="I225">
        <f t="shared" si="9"/>
        <v>1</v>
      </c>
      <c r="J225">
        <f t="shared" si="10"/>
        <v>1</v>
      </c>
      <c r="K225" t="str">
        <f t="shared" si="11"/>
        <v>0.66</v>
      </c>
    </row>
    <row r="226" spans="1:11" x14ac:dyDescent="0.3">
      <c r="A226">
        <v>18</v>
      </c>
      <c r="B226">
        <v>28.422460663030598</v>
      </c>
      <c r="C226">
        <v>76</v>
      </c>
      <c r="D226">
        <v>129</v>
      </c>
      <c r="E226">
        <v>1</v>
      </c>
      <c r="F226">
        <v>1</v>
      </c>
      <c r="G226">
        <v>0</v>
      </c>
      <c r="H226">
        <f>IF(OR(A226&lt;18, A226&gt;40, B226&gt;=30), 1, 0)</f>
        <v>0</v>
      </c>
      <c r="I226">
        <f t="shared" si="9"/>
        <v>1</v>
      </c>
      <c r="J226">
        <f t="shared" si="10"/>
        <v>1</v>
      </c>
      <c r="K226" t="str">
        <f t="shared" si="11"/>
        <v>0.66</v>
      </c>
    </row>
    <row r="227" spans="1:11" x14ac:dyDescent="0.3">
      <c r="A227">
        <v>24</v>
      </c>
      <c r="B227">
        <v>18.9688596800985</v>
      </c>
      <c r="C227">
        <v>82</v>
      </c>
      <c r="D227">
        <v>121</v>
      </c>
      <c r="E227">
        <v>0</v>
      </c>
      <c r="F227">
        <v>0</v>
      </c>
      <c r="G227">
        <v>0</v>
      </c>
      <c r="H227">
        <f>IF(OR(A227&lt;18, A227&gt;40, B227&gt;=30), 1, 0)</f>
        <v>0</v>
      </c>
      <c r="I227">
        <f t="shared" si="9"/>
        <v>0</v>
      </c>
      <c r="J227">
        <f t="shared" si="10"/>
        <v>1</v>
      </c>
      <c r="K227" t="str">
        <f t="shared" si="11"/>
        <v>0.33</v>
      </c>
    </row>
    <row r="228" spans="1:11" x14ac:dyDescent="0.3">
      <c r="A228">
        <v>31</v>
      </c>
      <c r="B228">
        <v>27.487668091443201</v>
      </c>
      <c r="C228">
        <v>83</v>
      </c>
      <c r="D228">
        <v>127</v>
      </c>
      <c r="E228">
        <v>1</v>
      </c>
      <c r="F228">
        <v>1</v>
      </c>
      <c r="G228">
        <v>1</v>
      </c>
      <c r="H228">
        <f>IF(OR(A228&lt;18, A228&gt;40, B228&gt;=30), 1, 0)</f>
        <v>0</v>
      </c>
      <c r="I228">
        <f t="shared" si="9"/>
        <v>1</v>
      </c>
      <c r="J228">
        <f t="shared" si="10"/>
        <v>1</v>
      </c>
      <c r="K228" t="str">
        <f t="shared" si="11"/>
        <v>0.66</v>
      </c>
    </row>
    <row r="229" spans="1:11" x14ac:dyDescent="0.3">
      <c r="A229">
        <v>25</v>
      </c>
      <c r="B229">
        <v>33.411128406427501</v>
      </c>
      <c r="C229">
        <v>81</v>
      </c>
      <c r="D229">
        <v>133</v>
      </c>
      <c r="E229">
        <v>1</v>
      </c>
      <c r="F229">
        <v>1</v>
      </c>
      <c r="G229">
        <v>0</v>
      </c>
      <c r="H229">
        <f>IF(OR(A229&lt;18, A229&gt;40, B229&gt;=30), 1, 0)</f>
        <v>1</v>
      </c>
      <c r="I229">
        <f t="shared" si="9"/>
        <v>1</v>
      </c>
      <c r="J229">
        <f t="shared" si="10"/>
        <v>1</v>
      </c>
      <c r="K229" t="str">
        <f t="shared" si="11"/>
        <v>0.99</v>
      </c>
    </row>
    <row r="230" spans="1:11" x14ac:dyDescent="0.3">
      <c r="A230">
        <v>26</v>
      </c>
      <c r="B230">
        <v>20.258201023808802</v>
      </c>
      <c r="C230">
        <v>77</v>
      </c>
      <c r="D230">
        <v>134</v>
      </c>
      <c r="E230">
        <v>0</v>
      </c>
      <c r="F230">
        <v>0</v>
      </c>
      <c r="G230">
        <v>0</v>
      </c>
      <c r="H230">
        <f>IF(OR(A230&lt;18, A230&gt;40, B230&gt;=30), 1, 0)</f>
        <v>0</v>
      </c>
      <c r="I230">
        <f t="shared" si="9"/>
        <v>0</v>
      </c>
      <c r="J230">
        <f t="shared" si="10"/>
        <v>1</v>
      </c>
      <c r="K230" t="str">
        <f t="shared" si="11"/>
        <v>0.33</v>
      </c>
    </row>
    <row r="231" spans="1:11" x14ac:dyDescent="0.3">
      <c r="A231">
        <v>32</v>
      </c>
      <c r="B231">
        <v>19.2571088887569</v>
      </c>
      <c r="C231">
        <v>77</v>
      </c>
      <c r="D231">
        <v>127</v>
      </c>
      <c r="E231">
        <v>0</v>
      </c>
      <c r="F231">
        <v>0</v>
      </c>
      <c r="G231">
        <v>0</v>
      </c>
      <c r="H231">
        <f>IF(OR(A231&lt;18, A231&gt;40, B231&gt;=30), 1, 0)</f>
        <v>0</v>
      </c>
      <c r="I231">
        <f t="shared" si="9"/>
        <v>0</v>
      </c>
      <c r="J231">
        <f t="shared" si="10"/>
        <v>1</v>
      </c>
      <c r="K231" t="str">
        <f t="shared" si="11"/>
        <v>0.33</v>
      </c>
    </row>
    <row r="232" spans="1:11" x14ac:dyDescent="0.3">
      <c r="A232">
        <v>22</v>
      </c>
      <c r="B232">
        <v>18.647106831500199</v>
      </c>
      <c r="C232">
        <v>82</v>
      </c>
      <c r="D232">
        <v>134</v>
      </c>
      <c r="E232">
        <v>1</v>
      </c>
      <c r="F232">
        <v>0</v>
      </c>
      <c r="G232">
        <v>1</v>
      </c>
      <c r="H232">
        <f>IF(OR(A232&lt;18, A232&gt;40, B232&gt;=30), 1, 0)</f>
        <v>0</v>
      </c>
      <c r="I232">
        <f t="shared" si="9"/>
        <v>1</v>
      </c>
      <c r="J232">
        <f t="shared" si="10"/>
        <v>1</v>
      </c>
      <c r="K232" t="str">
        <f t="shared" si="11"/>
        <v>0.66</v>
      </c>
    </row>
    <row r="233" spans="1:11" x14ac:dyDescent="0.3">
      <c r="A233">
        <v>34</v>
      </c>
      <c r="B233">
        <v>20.0691359251128</v>
      </c>
      <c r="C233">
        <v>71</v>
      </c>
      <c r="D233">
        <v>136</v>
      </c>
      <c r="E233">
        <v>1</v>
      </c>
      <c r="F233">
        <v>0</v>
      </c>
      <c r="G233">
        <v>0</v>
      </c>
      <c r="H233">
        <f>IF(OR(A233&lt;18, A233&gt;40, B233&gt;=30), 1, 0)</f>
        <v>0</v>
      </c>
      <c r="I233">
        <f t="shared" si="9"/>
        <v>1</v>
      </c>
      <c r="J233">
        <f t="shared" si="10"/>
        <v>1</v>
      </c>
      <c r="K233" t="str">
        <f t="shared" si="11"/>
        <v>0.66</v>
      </c>
    </row>
    <row r="234" spans="1:11" x14ac:dyDescent="0.3">
      <c r="A234">
        <v>28</v>
      </c>
      <c r="B234">
        <v>33.104822972491</v>
      </c>
      <c r="C234">
        <v>72</v>
      </c>
      <c r="D234">
        <v>129</v>
      </c>
      <c r="E234">
        <v>0</v>
      </c>
      <c r="F234">
        <v>1</v>
      </c>
      <c r="G234">
        <v>0</v>
      </c>
      <c r="H234">
        <f>IF(OR(A234&lt;18, A234&gt;40, B234&gt;=30), 1, 0)</f>
        <v>1</v>
      </c>
      <c r="I234">
        <f t="shared" si="9"/>
        <v>1</v>
      </c>
      <c r="J234">
        <f t="shared" si="10"/>
        <v>1</v>
      </c>
      <c r="K234" t="str">
        <f t="shared" si="11"/>
        <v>0.99</v>
      </c>
    </row>
    <row r="235" spans="1:11" x14ac:dyDescent="0.3">
      <c r="A235">
        <v>21</v>
      </c>
      <c r="B235">
        <v>26.330462036944699</v>
      </c>
      <c r="C235">
        <v>72</v>
      </c>
      <c r="D235">
        <v>123</v>
      </c>
      <c r="E235">
        <v>1</v>
      </c>
      <c r="F235">
        <v>0</v>
      </c>
      <c r="G235">
        <v>1</v>
      </c>
      <c r="H235">
        <f>IF(OR(A235&lt;18, A235&gt;40, B235&gt;=30), 1, 0)</f>
        <v>0</v>
      </c>
      <c r="I235">
        <f t="shared" si="9"/>
        <v>1</v>
      </c>
      <c r="J235">
        <f t="shared" si="10"/>
        <v>1</v>
      </c>
      <c r="K235" t="str">
        <f t="shared" si="11"/>
        <v>0.66</v>
      </c>
    </row>
    <row r="236" spans="1:11" x14ac:dyDescent="0.3">
      <c r="A236">
        <v>24</v>
      </c>
      <c r="B236">
        <v>28.7414877399593</v>
      </c>
      <c r="C236">
        <v>82</v>
      </c>
      <c r="D236">
        <v>126</v>
      </c>
      <c r="E236">
        <v>1</v>
      </c>
      <c r="F236">
        <v>1</v>
      </c>
      <c r="G236">
        <v>1</v>
      </c>
      <c r="H236">
        <f>IF(OR(A236&lt;18, A236&gt;40, B236&gt;=30), 1, 0)</f>
        <v>0</v>
      </c>
      <c r="I236">
        <f t="shared" si="9"/>
        <v>1</v>
      </c>
      <c r="J236">
        <f t="shared" si="10"/>
        <v>1</v>
      </c>
      <c r="K236" t="str">
        <f t="shared" si="11"/>
        <v>0.66</v>
      </c>
    </row>
    <row r="237" spans="1:11" x14ac:dyDescent="0.3">
      <c r="A237">
        <v>30</v>
      </c>
      <c r="B237">
        <v>27.221345920672999</v>
      </c>
      <c r="C237">
        <v>86</v>
      </c>
      <c r="D237">
        <v>139</v>
      </c>
      <c r="E237">
        <v>1</v>
      </c>
      <c r="F237">
        <v>1</v>
      </c>
      <c r="G237">
        <v>1</v>
      </c>
      <c r="H237">
        <f>IF(OR(A237&lt;18, A237&gt;40, B237&gt;=30), 1, 0)</f>
        <v>0</v>
      </c>
      <c r="I237">
        <f t="shared" si="9"/>
        <v>1</v>
      </c>
      <c r="J237">
        <f t="shared" si="10"/>
        <v>1</v>
      </c>
      <c r="K237" t="str">
        <f t="shared" si="11"/>
        <v>0.66</v>
      </c>
    </row>
    <row r="238" spans="1:11" x14ac:dyDescent="0.3">
      <c r="A238">
        <v>29</v>
      </c>
      <c r="B238">
        <v>33.152074711551897</v>
      </c>
      <c r="C238">
        <v>89</v>
      </c>
      <c r="D238">
        <v>123</v>
      </c>
      <c r="E238">
        <v>0</v>
      </c>
      <c r="F238">
        <v>0</v>
      </c>
      <c r="G238">
        <v>1</v>
      </c>
      <c r="H238">
        <f>IF(OR(A238&lt;18, A238&gt;40, B238&gt;=30), 1, 0)</f>
        <v>1</v>
      </c>
      <c r="I238">
        <f t="shared" si="9"/>
        <v>1</v>
      </c>
      <c r="J238">
        <f t="shared" si="10"/>
        <v>1</v>
      </c>
      <c r="K238" t="str">
        <f t="shared" si="11"/>
        <v>0.99</v>
      </c>
    </row>
    <row r="239" spans="1:11" x14ac:dyDescent="0.3">
      <c r="A239">
        <v>21</v>
      </c>
      <c r="B239">
        <v>19.117161148746</v>
      </c>
      <c r="C239">
        <v>73</v>
      </c>
      <c r="D239">
        <v>132</v>
      </c>
      <c r="E239">
        <v>0</v>
      </c>
      <c r="F239">
        <v>0</v>
      </c>
      <c r="G239">
        <v>0</v>
      </c>
      <c r="H239">
        <f>IF(OR(A239&lt;18, A239&gt;40, B239&gt;=30), 1, 0)</f>
        <v>0</v>
      </c>
      <c r="I239">
        <f t="shared" si="9"/>
        <v>0</v>
      </c>
      <c r="J239">
        <f t="shared" si="10"/>
        <v>1</v>
      </c>
      <c r="K239" t="str">
        <f t="shared" si="11"/>
        <v>0.33</v>
      </c>
    </row>
    <row r="240" spans="1:11" x14ac:dyDescent="0.3">
      <c r="A240">
        <v>27</v>
      </c>
      <c r="B240">
        <v>24.490513886852501</v>
      </c>
      <c r="C240">
        <v>89</v>
      </c>
      <c r="D240">
        <v>129</v>
      </c>
      <c r="E240">
        <v>1</v>
      </c>
      <c r="F240">
        <v>0</v>
      </c>
      <c r="G240">
        <v>1</v>
      </c>
      <c r="H240">
        <f>IF(OR(A240&lt;18, A240&gt;40, B240&gt;=30), 1, 0)</f>
        <v>0</v>
      </c>
      <c r="I240">
        <f t="shared" si="9"/>
        <v>1</v>
      </c>
      <c r="J240">
        <f t="shared" si="10"/>
        <v>1</v>
      </c>
      <c r="K240" t="str">
        <f t="shared" si="11"/>
        <v>0.66</v>
      </c>
    </row>
    <row r="241" spans="1:11" x14ac:dyDescent="0.3">
      <c r="A241">
        <v>24</v>
      </c>
      <c r="B241">
        <v>25.896701897360099</v>
      </c>
      <c r="C241">
        <v>81</v>
      </c>
      <c r="D241">
        <v>139</v>
      </c>
      <c r="E241">
        <v>1</v>
      </c>
      <c r="F241">
        <v>1</v>
      </c>
      <c r="G241">
        <v>1</v>
      </c>
      <c r="H241">
        <f>IF(OR(A241&lt;18, A241&gt;40, B241&gt;=30), 1, 0)</f>
        <v>0</v>
      </c>
      <c r="I241">
        <f t="shared" si="9"/>
        <v>1</v>
      </c>
      <c r="J241">
        <f t="shared" si="10"/>
        <v>1</v>
      </c>
      <c r="K241" t="str">
        <f t="shared" si="11"/>
        <v>0.66</v>
      </c>
    </row>
    <row r="242" spans="1:11" x14ac:dyDescent="0.3">
      <c r="A242">
        <v>33</v>
      </c>
      <c r="B242">
        <v>29.086541344095</v>
      </c>
      <c r="C242">
        <v>80</v>
      </c>
      <c r="D242">
        <v>133</v>
      </c>
      <c r="E242">
        <v>1</v>
      </c>
      <c r="F242">
        <v>1</v>
      </c>
      <c r="G242">
        <v>1</v>
      </c>
      <c r="H242">
        <f>IF(OR(A242&lt;18, A242&gt;40, B242&gt;=30), 1, 0)</f>
        <v>0</v>
      </c>
      <c r="I242">
        <f t="shared" si="9"/>
        <v>1</v>
      </c>
      <c r="J242">
        <f t="shared" si="10"/>
        <v>1</v>
      </c>
      <c r="K242" t="str">
        <f t="shared" si="11"/>
        <v>0.66</v>
      </c>
    </row>
    <row r="243" spans="1:11" x14ac:dyDescent="0.3">
      <c r="A243">
        <v>20</v>
      </c>
      <c r="B243">
        <v>33.226411144897298</v>
      </c>
      <c r="C243">
        <v>79</v>
      </c>
      <c r="D243">
        <v>128</v>
      </c>
      <c r="E243">
        <v>0</v>
      </c>
      <c r="F243">
        <v>1</v>
      </c>
      <c r="G243">
        <v>0</v>
      </c>
      <c r="H243">
        <f>IF(OR(A243&lt;18, A243&gt;40, B243&gt;=30), 1, 0)</f>
        <v>1</v>
      </c>
      <c r="I243">
        <f t="shared" si="9"/>
        <v>1</v>
      </c>
      <c r="J243">
        <f t="shared" si="10"/>
        <v>1</v>
      </c>
      <c r="K243" t="str">
        <f t="shared" si="11"/>
        <v>0.99</v>
      </c>
    </row>
    <row r="244" spans="1:11" x14ac:dyDescent="0.3">
      <c r="A244">
        <v>34</v>
      </c>
      <c r="B244">
        <v>32.957011920492</v>
      </c>
      <c r="C244">
        <v>79</v>
      </c>
      <c r="D244">
        <v>138</v>
      </c>
      <c r="E244">
        <v>0</v>
      </c>
      <c r="F244">
        <v>0</v>
      </c>
      <c r="G244">
        <v>1</v>
      </c>
      <c r="H244">
        <f>IF(OR(A244&lt;18, A244&gt;40, B244&gt;=30), 1, 0)</f>
        <v>1</v>
      </c>
      <c r="I244">
        <f t="shared" si="9"/>
        <v>1</v>
      </c>
      <c r="J244">
        <f t="shared" si="10"/>
        <v>1</v>
      </c>
      <c r="K244" t="str">
        <f t="shared" si="11"/>
        <v>0.99</v>
      </c>
    </row>
    <row r="245" spans="1:11" x14ac:dyDescent="0.3">
      <c r="A245">
        <v>29</v>
      </c>
      <c r="B245">
        <v>25.013421575032901</v>
      </c>
      <c r="C245">
        <v>84</v>
      </c>
      <c r="D245">
        <v>135</v>
      </c>
      <c r="E245">
        <v>1</v>
      </c>
      <c r="F245">
        <v>1</v>
      </c>
      <c r="G245">
        <v>1</v>
      </c>
      <c r="H245">
        <f>IF(OR(A245&lt;18, A245&gt;40, B245&gt;=30), 1, 0)</f>
        <v>0</v>
      </c>
      <c r="I245">
        <f t="shared" si="9"/>
        <v>1</v>
      </c>
      <c r="J245">
        <f t="shared" si="10"/>
        <v>1</v>
      </c>
      <c r="K245" t="str">
        <f t="shared" si="11"/>
        <v>0.66</v>
      </c>
    </row>
    <row r="246" spans="1:11" x14ac:dyDescent="0.3">
      <c r="A246">
        <v>18</v>
      </c>
      <c r="B246">
        <v>25.368567323166801</v>
      </c>
      <c r="C246">
        <v>71</v>
      </c>
      <c r="D246">
        <v>137</v>
      </c>
      <c r="E246">
        <v>1</v>
      </c>
      <c r="F246">
        <v>1</v>
      </c>
      <c r="G246">
        <v>0</v>
      </c>
      <c r="H246">
        <f>IF(OR(A246&lt;18, A246&gt;40, B246&gt;=30), 1, 0)</f>
        <v>0</v>
      </c>
      <c r="I246">
        <f t="shared" si="9"/>
        <v>1</v>
      </c>
      <c r="J246">
        <f t="shared" si="10"/>
        <v>1</v>
      </c>
      <c r="K246" t="str">
        <f t="shared" si="11"/>
        <v>0.66</v>
      </c>
    </row>
    <row r="247" spans="1:11" x14ac:dyDescent="0.3">
      <c r="A247">
        <v>18</v>
      </c>
      <c r="B247">
        <v>26.53224722161</v>
      </c>
      <c r="C247">
        <v>73</v>
      </c>
      <c r="D247">
        <v>120</v>
      </c>
      <c r="E247">
        <v>1</v>
      </c>
      <c r="F247">
        <v>0</v>
      </c>
      <c r="G247">
        <v>0</v>
      </c>
      <c r="H247">
        <f>IF(OR(A247&lt;18, A247&gt;40, B247&gt;=30), 1, 0)</f>
        <v>0</v>
      </c>
      <c r="I247">
        <f t="shared" si="9"/>
        <v>1</v>
      </c>
      <c r="J247">
        <f t="shared" si="10"/>
        <v>1</v>
      </c>
      <c r="K247" t="str">
        <f t="shared" si="11"/>
        <v>0.66</v>
      </c>
    </row>
    <row r="248" spans="1:11" x14ac:dyDescent="0.3">
      <c r="A248">
        <v>33</v>
      </c>
      <c r="B248">
        <v>29.190399653110699</v>
      </c>
      <c r="C248">
        <v>79</v>
      </c>
      <c r="D248">
        <v>128</v>
      </c>
      <c r="E248">
        <v>1</v>
      </c>
      <c r="F248">
        <v>0</v>
      </c>
      <c r="G248">
        <v>1</v>
      </c>
      <c r="H248">
        <f>IF(OR(A248&lt;18, A248&gt;40, B248&gt;=30), 1, 0)</f>
        <v>0</v>
      </c>
      <c r="I248">
        <f t="shared" si="9"/>
        <v>1</v>
      </c>
      <c r="J248">
        <f t="shared" si="10"/>
        <v>1</v>
      </c>
      <c r="K248" t="str">
        <f t="shared" si="11"/>
        <v>0.66</v>
      </c>
    </row>
    <row r="249" spans="1:11" x14ac:dyDescent="0.3">
      <c r="A249">
        <v>26</v>
      </c>
      <c r="B249">
        <v>32.688968617871197</v>
      </c>
      <c r="C249">
        <v>78</v>
      </c>
      <c r="D249">
        <v>127</v>
      </c>
      <c r="E249">
        <v>1</v>
      </c>
      <c r="F249">
        <v>1</v>
      </c>
      <c r="G249">
        <v>0</v>
      </c>
      <c r="H249">
        <f>IF(OR(A249&lt;18, A249&gt;40, B249&gt;=30), 1, 0)</f>
        <v>1</v>
      </c>
      <c r="I249">
        <f t="shared" si="9"/>
        <v>1</v>
      </c>
      <c r="J249">
        <f t="shared" si="10"/>
        <v>1</v>
      </c>
      <c r="K249" t="str">
        <f t="shared" si="11"/>
        <v>0.99</v>
      </c>
    </row>
    <row r="250" spans="1:11" x14ac:dyDescent="0.3">
      <c r="A250">
        <v>30</v>
      </c>
      <c r="B250">
        <v>29.058977685229799</v>
      </c>
      <c r="C250">
        <v>82</v>
      </c>
      <c r="D250">
        <v>133</v>
      </c>
      <c r="E250">
        <v>0</v>
      </c>
      <c r="F250">
        <v>1</v>
      </c>
      <c r="G250">
        <v>0</v>
      </c>
      <c r="H250">
        <f>IF(OR(A250&lt;18, A250&gt;40, B250&gt;=30), 1, 0)</f>
        <v>0</v>
      </c>
      <c r="I250">
        <f t="shared" si="9"/>
        <v>1</v>
      </c>
      <c r="J250">
        <f t="shared" si="10"/>
        <v>1</v>
      </c>
      <c r="K250" t="str">
        <f t="shared" si="11"/>
        <v>0.66</v>
      </c>
    </row>
    <row r="251" spans="1:11" x14ac:dyDescent="0.3">
      <c r="A251">
        <v>34</v>
      </c>
      <c r="B251">
        <v>34.973217834058303</v>
      </c>
      <c r="C251">
        <v>86</v>
      </c>
      <c r="D251">
        <v>120</v>
      </c>
      <c r="E251">
        <v>1</v>
      </c>
      <c r="F251">
        <v>0</v>
      </c>
      <c r="G251">
        <v>0</v>
      </c>
      <c r="H251">
        <f>IF(OR(A251&lt;18, A251&gt;40, B251&gt;=30), 1, 0)</f>
        <v>1</v>
      </c>
      <c r="I251">
        <f t="shared" si="9"/>
        <v>1</v>
      </c>
      <c r="J251">
        <f t="shared" si="10"/>
        <v>1</v>
      </c>
      <c r="K251" t="str">
        <f t="shared" si="11"/>
        <v>0.99</v>
      </c>
    </row>
    <row r="252" spans="1:11" x14ac:dyDescent="0.3">
      <c r="A252">
        <v>32</v>
      </c>
      <c r="B252">
        <v>22.318709144337799</v>
      </c>
      <c r="C252">
        <v>88</v>
      </c>
      <c r="D252">
        <v>126</v>
      </c>
      <c r="E252">
        <v>0</v>
      </c>
      <c r="F252">
        <v>0</v>
      </c>
      <c r="G252">
        <v>1</v>
      </c>
      <c r="H252">
        <f>IF(OR(A252&lt;18, A252&gt;40, B252&gt;=30), 1, 0)</f>
        <v>0</v>
      </c>
      <c r="I252">
        <f t="shared" si="9"/>
        <v>1</v>
      </c>
      <c r="J252">
        <f t="shared" si="10"/>
        <v>1</v>
      </c>
      <c r="K252" t="str">
        <f t="shared" si="11"/>
        <v>0.66</v>
      </c>
    </row>
    <row r="253" spans="1:11" x14ac:dyDescent="0.3">
      <c r="A253">
        <v>33</v>
      </c>
      <c r="B253">
        <v>32.684865533139302</v>
      </c>
      <c r="C253">
        <v>78</v>
      </c>
      <c r="D253">
        <v>139</v>
      </c>
      <c r="E253">
        <v>1</v>
      </c>
      <c r="F253">
        <v>0</v>
      </c>
      <c r="G253">
        <v>1</v>
      </c>
      <c r="H253">
        <f>IF(OR(A253&lt;18, A253&gt;40, B253&gt;=30), 1, 0)</f>
        <v>1</v>
      </c>
      <c r="I253">
        <f t="shared" si="9"/>
        <v>1</v>
      </c>
      <c r="J253">
        <f t="shared" si="10"/>
        <v>1</v>
      </c>
      <c r="K253" t="str">
        <f t="shared" si="11"/>
        <v>0.99</v>
      </c>
    </row>
    <row r="254" spans="1:11" x14ac:dyDescent="0.3">
      <c r="A254">
        <v>33</v>
      </c>
      <c r="B254">
        <v>29.6807616137338</v>
      </c>
      <c r="C254">
        <v>77</v>
      </c>
      <c r="D254">
        <v>137</v>
      </c>
      <c r="E254">
        <v>1</v>
      </c>
      <c r="F254">
        <v>1</v>
      </c>
      <c r="G254">
        <v>1</v>
      </c>
      <c r="H254">
        <f>IF(OR(A254&lt;18, A254&gt;40, B254&gt;=30), 1, 0)</f>
        <v>0</v>
      </c>
      <c r="I254">
        <f t="shared" si="9"/>
        <v>1</v>
      </c>
      <c r="J254">
        <f t="shared" si="10"/>
        <v>1</v>
      </c>
      <c r="K254" t="str">
        <f t="shared" si="11"/>
        <v>0.66</v>
      </c>
    </row>
    <row r="255" spans="1:11" x14ac:dyDescent="0.3">
      <c r="A255">
        <v>22</v>
      </c>
      <c r="B255">
        <v>23.701443514753901</v>
      </c>
      <c r="C255">
        <v>75</v>
      </c>
      <c r="D255">
        <v>134</v>
      </c>
      <c r="E255">
        <v>1</v>
      </c>
      <c r="F255">
        <v>0</v>
      </c>
      <c r="G255">
        <v>0</v>
      </c>
      <c r="H255">
        <f>IF(OR(A255&lt;18, A255&gt;40, B255&gt;=30), 1, 0)</f>
        <v>0</v>
      </c>
      <c r="I255">
        <f t="shared" si="9"/>
        <v>1</v>
      </c>
      <c r="J255">
        <f t="shared" si="10"/>
        <v>1</v>
      </c>
      <c r="K255" t="str">
        <f t="shared" si="11"/>
        <v>0.66</v>
      </c>
    </row>
    <row r="256" spans="1:11" x14ac:dyDescent="0.3">
      <c r="A256">
        <v>28</v>
      </c>
      <c r="B256">
        <v>27.4466345590427</v>
      </c>
      <c r="C256">
        <v>85</v>
      </c>
      <c r="D256">
        <v>134</v>
      </c>
      <c r="E256">
        <v>1</v>
      </c>
      <c r="F256">
        <v>1</v>
      </c>
      <c r="G256">
        <v>1</v>
      </c>
      <c r="H256">
        <f>IF(OR(A256&lt;18, A256&gt;40, B256&gt;=30), 1, 0)</f>
        <v>0</v>
      </c>
      <c r="I256">
        <f t="shared" si="9"/>
        <v>1</v>
      </c>
      <c r="J256">
        <f t="shared" si="10"/>
        <v>1</v>
      </c>
      <c r="K256" t="str">
        <f t="shared" si="11"/>
        <v>0.66</v>
      </c>
    </row>
    <row r="257" spans="1:11" x14ac:dyDescent="0.3">
      <c r="A257">
        <v>34</v>
      </c>
      <c r="B257">
        <v>21.599087581059901</v>
      </c>
      <c r="C257">
        <v>81</v>
      </c>
      <c r="D257">
        <v>131</v>
      </c>
      <c r="E257">
        <v>1</v>
      </c>
      <c r="F257">
        <v>1</v>
      </c>
      <c r="G257">
        <v>0</v>
      </c>
      <c r="H257">
        <f>IF(OR(A257&lt;18, A257&gt;40, B257&gt;=30), 1, 0)</f>
        <v>0</v>
      </c>
      <c r="I257">
        <f t="shared" si="9"/>
        <v>1</v>
      </c>
      <c r="J257">
        <f t="shared" si="10"/>
        <v>1</v>
      </c>
      <c r="K257" t="str">
        <f t="shared" si="11"/>
        <v>0.66</v>
      </c>
    </row>
    <row r="258" spans="1:11" x14ac:dyDescent="0.3">
      <c r="A258">
        <v>20</v>
      </c>
      <c r="B258">
        <v>32.746755059239597</v>
      </c>
      <c r="C258">
        <v>73</v>
      </c>
      <c r="D258">
        <v>126</v>
      </c>
      <c r="E258">
        <v>1</v>
      </c>
      <c r="F258">
        <v>0</v>
      </c>
      <c r="G258">
        <v>1</v>
      </c>
      <c r="H258">
        <f>IF(OR(A258&lt;18, A258&gt;40, B258&gt;=30), 1, 0)</f>
        <v>1</v>
      </c>
      <c r="I258">
        <f t="shared" si="9"/>
        <v>1</v>
      </c>
      <c r="J258">
        <f t="shared" si="10"/>
        <v>1</v>
      </c>
      <c r="K258" t="str">
        <f t="shared" si="11"/>
        <v>0.99</v>
      </c>
    </row>
    <row r="259" spans="1:11" x14ac:dyDescent="0.3">
      <c r="A259">
        <v>34</v>
      </c>
      <c r="B259">
        <v>34.534754646770899</v>
      </c>
      <c r="C259">
        <v>77</v>
      </c>
      <c r="D259">
        <v>128</v>
      </c>
      <c r="E259">
        <v>1</v>
      </c>
      <c r="F259">
        <v>1</v>
      </c>
      <c r="G259">
        <v>0</v>
      </c>
      <c r="H259">
        <f>IF(OR(A259&lt;18, A259&gt;40, B259&gt;=30), 1, 0)</f>
        <v>1</v>
      </c>
      <c r="I259">
        <f t="shared" ref="I259:I322" si="12">IF(OR(E259=1, F259=1, G259=1), 1, 0)</f>
        <v>1</v>
      </c>
      <c r="J259">
        <f t="shared" ref="J259:J322" si="13">IF(OR(C259&gt;=140, D259&gt;=90), 1, 0)</f>
        <v>1</v>
      </c>
      <c r="K259" t="str">
        <f t="shared" ref="K259:K322" si="14">IF((H259+I259+J259)=3, "0.99", IF((H259+I259+J259)=2, "0.66", IF((H259+I259+J259)=1, "0.33", "0.0")))</f>
        <v>0.99</v>
      </c>
    </row>
    <row r="260" spans="1:11" x14ac:dyDescent="0.3">
      <c r="A260">
        <v>24</v>
      </c>
      <c r="B260">
        <v>21.822393086781499</v>
      </c>
      <c r="C260">
        <v>81</v>
      </c>
      <c r="D260">
        <v>133</v>
      </c>
      <c r="E260">
        <v>0</v>
      </c>
      <c r="F260">
        <v>1</v>
      </c>
      <c r="G260">
        <v>0</v>
      </c>
      <c r="H260">
        <f>IF(OR(A260&lt;18, A260&gt;40, B260&gt;=30), 1, 0)</f>
        <v>0</v>
      </c>
      <c r="I260">
        <f t="shared" si="12"/>
        <v>1</v>
      </c>
      <c r="J260">
        <f t="shared" si="13"/>
        <v>1</v>
      </c>
      <c r="K260" t="str">
        <f t="shared" si="14"/>
        <v>0.66</v>
      </c>
    </row>
    <row r="261" spans="1:11" x14ac:dyDescent="0.3">
      <c r="A261">
        <v>20</v>
      </c>
      <c r="B261">
        <v>21.015796949191898</v>
      </c>
      <c r="C261">
        <v>77</v>
      </c>
      <c r="D261">
        <v>122</v>
      </c>
      <c r="E261">
        <v>1</v>
      </c>
      <c r="F261">
        <v>0</v>
      </c>
      <c r="G261">
        <v>0</v>
      </c>
      <c r="H261">
        <f>IF(OR(A261&lt;18, A261&gt;40, B261&gt;=30), 1, 0)</f>
        <v>0</v>
      </c>
      <c r="I261">
        <f t="shared" si="12"/>
        <v>1</v>
      </c>
      <c r="J261">
        <f t="shared" si="13"/>
        <v>1</v>
      </c>
      <c r="K261" t="str">
        <f t="shared" si="14"/>
        <v>0.66</v>
      </c>
    </row>
    <row r="262" spans="1:11" x14ac:dyDescent="0.3">
      <c r="A262">
        <v>34</v>
      </c>
      <c r="B262">
        <v>19.9655554335991</v>
      </c>
      <c r="C262">
        <v>72</v>
      </c>
      <c r="D262">
        <v>138</v>
      </c>
      <c r="E262">
        <v>0</v>
      </c>
      <c r="F262">
        <v>0</v>
      </c>
      <c r="G262">
        <v>0</v>
      </c>
      <c r="H262">
        <f>IF(OR(A262&lt;18, A262&gt;40, B262&gt;=30), 1, 0)</f>
        <v>0</v>
      </c>
      <c r="I262">
        <f t="shared" si="12"/>
        <v>0</v>
      </c>
      <c r="J262">
        <f t="shared" si="13"/>
        <v>1</v>
      </c>
      <c r="K262" t="str">
        <f t="shared" si="14"/>
        <v>0.33</v>
      </c>
    </row>
    <row r="263" spans="1:11" x14ac:dyDescent="0.3">
      <c r="A263">
        <v>26</v>
      </c>
      <c r="B263">
        <v>23.830945957109201</v>
      </c>
      <c r="C263">
        <v>73</v>
      </c>
      <c r="D263">
        <v>133</v>
      </c>
      <c r="E263">
        <v>0</v>
      </c>
      <c r="F263">
        <v>1</v>
      </c>
      <c r="G263">
        <v>0</v>
      </c>
      <c r="H263">
        <f>IF(OR(A263&lt;18, A263&gt;40, B263&gt;=30), 1, 0)</f>
        <v>0</v>
      </c>
      <c r="I263">
        <f t="shared" si="12"/>
        <v>1</v>
      </c>
      <c r="J263">
        <f t="shared" si="13"/>
        <v>1</v>
      </c>
      <c r="K263" t="str">
        <f t="shared" si="14"/>
        <v>0.66</v>
      </c>
    </row>
    <row r="264" spans="1:11" x14ac:dyDescent="0.3">
      <c r="A264">
        <v>18</v>
      </c>
      <c r="B264">
        <v>33.367857665009197</v>
      </c>
      <c r="C264">
        <v>78</v>
      </c>
      <c r="D264">
        <v>124</v>
      </c>
      <c r="E264">
        <v>0</v>
      </c>
      <c r="F264">
        <v>1</v>
      </c>
      <c r="G264">
        <v>1</v>
      </c>
      <c r="H264">
        <f>IF(OR(A264&lt;18, A264&gt;40, B264&gt;=30), 1, 0)</f>
        <v>1</v>
      </c>
      <c r="I264">
        <f t="shared" si="12"/>
        <v>1</v>
      </c>
      <c r="J264">
        <f t="shared" si="13"/>
        <v>1</v>
      </c>
      <c r="K264" t="str">
        <f t="shared" si="14"/>
        <v>0.99</v>
      </c>
    </row>
    <row r="265" spans="1:11" x14ac:dyDescent="0.3">
      <c r="A265">
        <v>31</v>
      </c>
      <c r="B265">
        <v>23.057686403091299</v>
      </c>
      <c r="C265">
        <v>84</v>
      </c>
      <c r="D265">
        <v>126</v>
      </c>
      <c r="E265">
        <v>1</v>
      </c>
      <c r="F265">
        <v>0</v>
      </c>
      <c r="G265">
        <v>1</v>
      </c>
      <c r="H265">
        <f>IF(OR(A265&lt;18, A265&gt;40, B265&gt;=30), 1, 0)</f>
        <v>0</v>
      </c>
      <c r="I265">
        <f t="shared" si="12"/>
        <v>1</v>
      </c>
      <c r="J265">
        <f t="shared" si="13"/>
        <v>1</v>
      </c>
      <c r="K265" t="str">
        <f t="shared" si="14"/>
        <v>0.66</v>
      </c>
    </row>
    <row r="266" spans="1:11" x14ac:dyDescent="0.3">
      <c r="A266">
        <v>27</v>
      </c>
      <c r="B266">
        <v>27.330143881621801</v>
      </c>
      <c r="C266">
        <v>78</v>
      </c>
      <c r="D266">
        <v>138</v>
      </c>
      <c r="E266">
        <v>0</v>
      </c>
      <c r="F266">
        <v>0</v>
      </c>
      <c r="G266">
        <v>1</v>
      </c>
      <c r="H266">
        <f>IF(OR(A266&lt;18, A266&gt;40, B266&gt;=30), 1, 0)</f>
        <v>0</v>
      </c>
      <c r="I266">
        <f t="shared" si="12"/>
        <v>1</v>
      </c>
      <c r="J266">
        <f t="shared" si="13"/>
        <v>1</v>
      </c>
      <c r="K266" t="str">
        <f t="shared" si="14"/>
        <v>0.66</v>
      </c>
    </row>
    <row r="267" spans="1:11" x14ac:dyDescent="0.3">
      <c r="A267">
        <v>25</v>
      </c>
      <c r="B267">
        <v>28.077144752056</v>
      </c>
      <c r="C267">
        <v>72</v>
      </c>
      <c r="D267">
        <v>125</v>
      </c>
      <c r="E267">
        <v>1</v>
      </c>
      <c r="F267">
        <v>0</v>
      </c>
      <c r="G267">
        <v>1</v>
      </c>
      <c r="H267">
        <f>IF(OR(A267&lt;18, A267&gt;40, B267&gt;=30), 1, 0)</f>
        <v>0</v>
      </c>
      <c r="I267">
        <f t="shared" si="12"/>
        <v>1</v>
      </c>
      <c r="J267">
        <f t="shared" si="13"/>
        <v>1</v>
      </c>
      <c r="K267" t="str">
        <f t="shared" si="14"/>
        <v>0.66</v>
      </c>
    </row>
    <row r="268" spans="1:11" x14ac:dyDescent="0.3">
      <c r="A268">
        <v>28</v>
      </c>
      <c r="B268">
        <v>21.867039779308499</v>
      </c>
      <c r="C268">
        <v>89</v>
      </c>
      <c r="D268">
        <v>129</v>
      </c>
      <c r="E268">
        <v>1</v>
      </c>
      <c r="F268">
        <v>1</v>
      </c>
      <c r="G268">
        <v>1</v>
      </c>
      <c r="H268">
        <f>IF(OR(A268&lt;18, A268&gt;40, B268&gt;=30), 1, 0)</f>
        <v>0</v>
      </c>
      <c r="I268">
        <f t="shared" si="12"/>
        <v>1</v>
      </c>
      <c r="J268">
        <f t="shared" si="13"/>
        <v>1</v>
      </c>
      <c r="K268" t="str">
        <f t="shared" si="14"/>
        <v>0.66</v>
      </c>
    </row>
    <row r="269" spans="1:11" x14ac:dyDescent="0.3">
      <c r="A269">
        <v>32</v>
      </c>
      <c r="B269">
        <v>20.390573353050002</v>
      </c>
      <c r="C269">
        <v>78</v>
      </c>
      <c r="D269">
        <v>134</v>
      </c>
      <c r="E269">
        <v>1</v>
      </c>
      <c r="F269">
        <v>0</v>
      </c>
      <c r="G269">
        <v>1</v>
      </c>
      <c r="H269">
        <f>IF(OR(A269&lt;18, A269&gt;40, B269&gt;=30), 1, 0)</f>
        <v>0</v>
      </c>
      <c r="I269">
        <f t="shared" si="12"/>
        <v>1</v>
      </c>
      <c r="J269">
        <f t="shared" si="13"/>
        <v>1</v>
      </c>
      <c r="K269" t="str">
        <f t="shared" si="14"/>
        <v>0.66</v>
      </c>
    </row>
    <row r="270" spans="1:11" x14ac:dyDescent="0.3">
      <c r="A270">
        <v>21</v>
      </c>
      <c r="B270">
        <v>25.699108742945899</v>
      </c>
      <c r="C270">
        <v>74</v>
      </c>
      <c r="D270">
        <v>125</v>
      </c>
      <c r="E270">
        <v>1</v>
      </c>
      <c r="F270">
        <v>1</v>
      </c>
      <c r="G270">
        <v>1</v>
      </c>
      <c r="H270">
        <f>IF(OR(A270&lt;18, A270&gt;40, B270&gt;=30), 1, 0)</f>
        <v>0</v>
      </c>
      <c r="I270">
        <f t="shared" si="12"/>
        <v>1</v>
      </c>
      <c r="J270">
        <f t="shared" si="13"/>
        <v>1</v>
      </c>
      <c r="K270" t="str">
        <f t="shared" si="14"/>
        <v>0.66</v>
      </c>
    </row>
    <row r="271" spans="1:11" x14ac:dyDescent="0.3">
      <c r="A271">
        <v>26</v>
      </c>
      <c r="B271">
        <v>33.012353250906401</v>
      </c>
      <c r="C271">
        <v>88</v>
      </c>
      <c r="D271">
        <v>133</v>
      </c>
      <c r="E271">
        <v>0</v>
      </c>
      <c r="F271">
        <v>1</v>
      </c>
      <c r="G271">
        <v>0</v>
      </c>
      <c r="H271">
        <f>IF(OR(A271&lt;18, A271&gt;40, B271&gt;=30), 1, 0)</f>
        <v>1</v>
      </c>
      <c r="I271">
        <f t="shared" si="12"/>
        <v>1</v>
      </c>
      <c r="J271">
        <f t="shared" si="13"/>
        <v>1</v>
      </c>
      <c r="K271" t="str">
        <f t="shared" si="14"/>
        <v>0.99</v>
      </c>
    </row>
    <row r="272" spans="1:11" x14ac:dyDescent="0.3">
      <c r="A272">
        <v>21</v>
      </c>
      <c r="B272">
        <v>20.100493426783999</v>
      </c>
      <c r="C272">
        <v>78</v>
      </c>
      <c r="D272">
        <v>136</v>
      </c>
      <c r="E272">
        <v>0</v>
      </c>
      <c r="F272">
        <v>1</v>
      </c>
      <c r="G272">
        <v>0</v>
      </c>
      <c r="H272">
        <f>IF(OR(A272&lt;18, A272&gt;40, B272&gt;=30), 1, 0)</f>
        <v>0</v>
      </c>
      <c r="I272">
        <f t="shared" si="12"/>
        <v>1</v>
      </c>
      <c r="J272">
        <f t="shared" si="13"/>
        <v>1</v>
      </c>
      <c r="K272" t="str">
        <f t="shared" si="14"/>
        <v>0.66</v>
      </c>
    </row>
    <row r="273" spans="1:11" x14ac:dyDescent="0.3">
      <c r="A273">
        <v>23</v>
      </c>
      <c r="B273">
        <v>27.364701446109901</v>
      </c>
      <c r="C273">
        <v>71</v>
      </c>
      <c r="D273">
        <v>139</v>
      </c>
      <c r="E273">
        <v>0</v>
      </c>
      <c r="F273">
        <v>0</v>
      </c>
      <c r="G273">
        <v>1</v>
      </c>
      <c r="H273">
        <f>IF(OR(A273&lt;18, A273&gt;40, B273&gt;=30), 1, 0)</f>
        <v>0</v>
      </c>
      <c r="I273">
        <f t="shared" si="12"/>
        <v>1</v>
      </c>
      <c r="J273">
        <f t="shared" si="13"/>
        <v>1</v>
      </c>
      <c r="K273" t="str">
        <f t="shared" si="14"/>
        <v>0.66</v>
      </c>
    </row>
    <row r="274" spans="1:11" x14ac:dyDescent="0.3">
      <c r="A274">
        <v>18</v>
      </c>
      <c r="B274">
        <v>21.547302373732101</v>
      </c>
      <c r="C274">
        <v>73</v>
      </c>
      <c r="D274">
        <v>123</v>
      </c>
      <c r="E274">
        <v>1</v>
      </c>
      <c r="F274">
        <v>0</v>
      </c>
      <c r="G274">
        <v>0</v>
      </c>
      <c r="H274">
        <f>IF(OR(A274&lt;18, A274&gt;40, B274&gt;=30), 1, 0)</f>
        <v>0</v>
      </c>
      <c r="I274">
        <f t="shared" si="12"/>
        <v>1</v>
      </c>
      <c r="J274">
        <f t="shared" si="13"/>
        <v>1</v>
      </c>
      <c r="K274" t="str">
        <f t="shared" si="14"/>
        <v>0.66</v>
      </c>
    </row>
    <row r="275" spans="1:11" x14ac:dyDescent="0.3">
      <c r="A275">
        <v>26</v>
      </c>
      <c r="B275">
        <v>27.3990237898809</v>
      </c>
      <c r="C275">
        <v>71</v>
      </c>
      <c r="D275">
        <v>132</v>
      </c>
      <c r="E275">
        <v>1</v>
      </c>
      <c r="F275">
        <v>0</v>
      </c>
      <c r="G275">
        <v>1</v>
      </c>
      <c r="H275">
        <f>IF(OR(A275&lt;18, A275&gt;40, B275&gt;=30), 1, 0)</f>
        <v>0</v>
      </c>
      <c r="I275">
        <f t="shared" si="12"/>
        <v>1</v>
      </c>
      <c r="J275">
        <f t="shared" si="13"/>
        <v>1</v>
      </c>
      <c r="K275" t="str">
        <f t="shared" si="14"/>
        <v>0.66</v>
      </c>
    </row>
    <row r="276" spans="1:11" x14ac:dyDescent="0.3">
      <c r="A276">
        <v>30</v>
      </c>
      <c r="B276">
        <v>25.3063055966829</v>
      </c>
      <c r="C276">
        <v>70</v>
      </c>
      <c r="D276">
        <v>137</v>
      </c>
      <c r="E276">
        <v>1</v>
      </c>
      <c r="F276">
        <v>0</v>
      </c>
      <c r="G276">
        <v>0</v>
      </c>
      <c r="H276">
        <f>IF(OR(A276&lt;18, A276&gt;40, B276&gt;=30), 1, 0)</f>
        <v>0</v>
      </c>
      <c r="I276">
        <f t="shared" si="12"/>
        <v>1</v>
      </c>
      <c r="J276">
        <f t="shared" si="13"/>
        <v>1</v>
      </c>
      <c r="K276" t="str">
        <f t="shared" si="14"/>
        <v>0.66</v>
      </c>
    </row>
    <row r="277" spans="1:11" x14ac:dyDescent="0.3">
      <c r="A277">
        <v>21</v>
      </c>
      <c r="B277">
        <v>29.116134342245299</v>
      </c>
      <c r="C277">
        <v>87</v>
      </c>
      <c r="D277">
        <v>120</v>
      </c>
      <c r="E277">
        <v>0</v>
      </c>
      <c r="F277">
        <v>0</v>
      </c>
      <c r="G277">
        <v>0</v>
      </c>
      <c r="H277">
        <f>IF(OR(A277&lt;18, A277&gt;40, B277&gt;=30), 1, 0)</f>
        <v>0</v>
      </c>
      <c r="I277">
        <f t="shared" si="12"/>
        <v>0</v>
      </c>
      <c r="J277">
        <f t="shared" si="13"/>
        <v>1</v>
      </c>
      <c r="K277" t="str">
        <f t="shared" si="14"/>
        <v>0.33</v>
      </c>
    </row>
    <row r="278" spans="1:11" x14ac:dyDescent="0.3">
      <c r="A278">
        <v>21</v>
      </c>
      <c r="B278">
        <v>26.495231580521398</v>
      </c>
      <c r="C278">
        <v>77</v>
      </c>
      <c r="D278">
        <v>139</v>
      </c>
      <c r="E278">
        <v>0</v>
      </c>
      <c r="F278">
        <v>1</v>
      </c>
      <c r="G278">
        <v>0</v>
      </c>
      <c r="H278">
        <f>IF(OR(A278&lt;18, A278&gt;40, B278&gt;=30), 1, 0)</f>
        <v>0</v>
      </c>
      <c r="I278">
        <f t="shared" si="12"/>
        <v>1</v>
      </c>
      <c r="J278">
        <f t="shared" si="13"/>
        <v>1</v>
      </c>
      <c r="K278" t="str">
        <f t="shared" si="14"/>
        <v>0.66</v>
      </c>
    </row>
    <row r="279" spans="1:11" x14ac:dyDescent="0.3">
      <c r="A279">
        <v>19</v>
      </c>
      <c r="B279">
        <v>32.106641610305097</v>
      </c>
      <c r="C279">
        <v>78</v>
      </c>
      <c r="D279">
        <v>136</v>
      </c>
      <c r="E279">
        <v>1</v>
      </c>
      <c r="F279">
        <v>1</v>
      </c>
      <c r="G279">
        <v>0</v>
      </c>
      <c r="H279">
        <f>IF(OR(A279&lt;18, A279&gt;40, B279&gt;=30), 1, 0)</f>
        <v>1</v>
      </c>
      <c r="I279">
        <f t="shared" si="12"/>
        <v>1</v>
      </c>
      <c r="J279">
        <f t="shared" si="13"/>
        <v>1</v>
      </c>
      <c r="K279" t="str">
        <f t="shared" si="14"/>
        <v>0.99</v>
      </c>
    </row>
    <row r="280" spans="1:11" x14ac:dyDescent="0.3">
      <c r="A280">
        <v>24</v>
      </c>
      <c r="B280">
        <v>29.965383179048199</v>
      </c>
      <c r="C280">
        <v>84</v>
      </c>
      <c r="D280">
        <v>120</v>
      </c>
      <c r="E280">
        <v>1</v>
      </c>
      <c r="F280">
        <v>1</v>
      </c>
      <c r="G280">
        <v>0</v>
      </c>
      <c r="H280">
        <f>IF(OR(A280&lt;18, A280&gt;40, B280&gt;=30), 1, 0)</f>
        <v>0</v>
      </c>
      <c r="I280">
        <f t="shared" si="12"/>
        <v>1</v>
      </c>
      <c r="J280">
        <f t="shared" si="13"/>
        <v>1</v>
      </c>
      <c r="K280" t="str">
        <f t="shared" si="14"/>
        <v>0.66</v>
      </c>
    </row>
    <row r="281" spans="1:11" x14ac:dyDescent="0.3">
      <c r="A281">
        <v>27</v>
      </c>
      <c r="B281">
        <v>19.9224112476195</v>
      </c>
      <c r="C281">
        <v>78</v>
      </c>
      <c r="D281">
        <v>122</v>
      </c>
      <c r="E281">
        <v>1</v>
      </c>
      <c r="F281">
        <v>0</v>
      </c>
      <c r="G281">
        <v>1</v>
      </c>
      <c r="H281">
        <f>IF(OR(A281&lt;18, A281&gt;40, B281&gt;=30), 1, 0)</f>
        <v>0</v>
      </c>
      <c r="I281">
        <f t="shared" si="12"/>
        <v>1</v>
      </c>
      <c r="J281">
        <f t="shared" si="13"/>
        <v>1</v>
      </c>
      <c r="K281" t="str">
        <f t="shared" si="14"/>
        <v>0.66</v>
      </c>
    </row>
    <row r="282" spans="1:11" x14ac:dyDescent="0.3">
      <c r="A282">
        <v>27</v>
      </c>
      <c r="B282">
        <v>29.671263602091699</v>
      </c>
      <c r="C282">
        <v>79</v>
      </c>
      <c r="D282">
        <v>131</v>
      </c>
      <c r="E282">
        <v>0</v>
      </c>
      <c r="F282">
        <v>1</v>
      </c>
      <c r="G282">
        <v>1</v>
      </c>
      <c r="H282">
        <f>IF(OR(A282&lt;18, A282&gt;40, B282&gt;=30), 1, 0)</f>
        <v>0</v>
      </c>
      <c r="I282">
        <f t="shared" si="12"/>
        <v>1</v>
      </c>
      <c r="J282">
        <f t="shared" si="13"/>
        <v>1</v>
      </c>
      <c r="K282" t="str">
        <f t="shared" si="14"/>
        <v>0.66</v>
      </c>
    </row>
    <row r="283" spans="1:11" x14ac:dyDescent="0.3">
      <c r="A283">
        <v>18</v>
      </c>
      <c r="B283">
        <v>25.1760519686005</v>
      </c>
      <c r="C283">
        <v>86</v>
      </c>
      <c r="D283">
        <v>131</v>
      </c>
      <c r="E283">
        <v>1</v>
      </c>
      <c r="F283">
        <v>1</v>
      </c>
      <c r="G283">
        <v>1</v>
      </c>
      <c r="H283">
        <f>IF(OR(A283&lt;18, A283&gt;40, B283&gt;=30), 1, 0)</f>
        <v>0</v>
      </c>
      <c r="I283">
        <f t="shared" si="12"/>
        <v>1</v>
      </c>
      <c r="J283">
        <f t="shared" si="13"/>
        <v>1</v>
      </c>
      <c r="K283" t="str">
        <f t="shared" si="14"/>
        <v>0.66</v>
      </c>
    </row>
    <row r="284" spans="1:11" x14ac:dyDescent="0.3">
      <c r="A284">
        <v>32</v>
      </c>
      <c r="B284">
        <v>28.009649993520899</v>
      </c>
      <c r="C284">
        <v>87</v>
      </c>
      <c r="D284">
        <v>138</v>
      </c>
      <c r="E284">
        <v>1</v>
      </c>
      <c r="F284">
        <v>1</v>
      </c>
      <c r="G284">
        <v>1</v>
      </c>
      <c r="H284">
        <f>IF(OR(A284&lt;18, A284&gt;40, B284&gt;=30), 1, 0)</f>
        <v>0</v>
      </c>
      <c r="I284">
        <f t="shared" si="12"/>
        <v>1</v>
      </c>
      <c r="J284">
        <f t="shared" si="13"/>
        <v>1</v>
      </c>
      <c r="K284" t="str">
        <f t="shared" si="14"/>
        <v>0.66</v>
      </c>
    </row>
    <row r="285" spans="1:11" x14ac:dyDescent="0.3">
      <c r="A285">
        <v>29</v>
      </c>
      <c r="B285">
        <v>18.862509185617199</v>
      </c>
      <c r="C285">
        <v>80</v>
      </c>
      <c r="D285">
        <v>121</v>
      </c>
      <c r="E285">
        <v>0</v>
      </c>
      <c r="F285">
        <v>0</v>
      </c>
      <c r="G285">
        <v>0</v>
      </c>
      <c r="H285">
        <f>IF(OR(A285&lt;18, A285&gt;40, B285&gt;=30), 1, 0)</f>
        <v>0</v>
      </c>
      <c r="I285">
        <f t="shared" si="12"/>
        <v>0</v>
      </c>
      <c r="J285">
        <f t="shared" si="13"/>
        <v>1</v>
      </c>
      <c r="K285" t="str">
        <f t="shared" si="14"/>
        <v>0.33</v>
      </c>
    </row>
    <row r="286" spans="1:11" x14ac:dyDescent="0.3">
      <c r="A286">
        <v>29</v>
      </c>
      <c r="B286">
        <v>27.323255623015001</v>
      </c>
      <c r="C286">
        <v>80</v>
      </c>
      <c r="D286">
        <v>137</v>
      </c>
      <c r="E286">
        <v>0</v>
      </c>
      <c r="F286">
        <v>1</v>
      </c>
      <c r="G286">
        <v>0</v>
      </c>
      <c r="H286">
        <f>IF(OR(A286&lt;18, A286&gt;40, B286&gt;=30), 1, 0)</f>
        <v>0</v>
      </c>
      <c r="I286">
        <f t="shared" si="12"/>
        <v>1</v>
      </c>
      <c r="J286">
        <f t="shared" si="13"/>
        <v>1</v>
      </c>
      <c r="K286" t="str">
        <f t="shared" si="14"/>
        <v>0.66</v>
      </c>
    </row>
    <row r="287" spans="1:11" x14ac:dyDescent="0.3">
      <c r="A287">
        <v>30</v>
      </c>
      <c r="B287">
        <v>25.948041213621298</v>
      </c>
      <c r="C287">
        <v>70</v>
      </c>
      <c r="D287">
        <v>132</v>
      </c>
      <c r="E287">
        <v>1</v>
      </c>
      <c r="F287">
        <v>1</v>
      </c>
      <c r="G287">
        <v>1</v>
      </c>
      <c r="H287">
        <f>IF(OR(A287&lt;18, A287&gt;40, B287&gt;=30), 1, 0)</f>
        <v>0</v>
      </c>
      <c r="I287">
        <f t="shared" si="12"/>
        <v>1</v>
      </c>
      <c r="J287">
        <f t="shared" si="13"/>
        <v>1</v>
      </c>
      <c r="K287" t="str">
        <f t="shared" si="14"/>
        <v>0.66</v>
      </c>
    </row>
    <row r="288" spans="1:11" x14ac:dyDescent="0.3">
      <c r="A288">
        <v>24</v>
      </c>
      <c r="B288">
        <v>28.889604482276098</v>
      </c>
      <c r="C288">
        <v>80</v>
      </c>
      <c r="D288">
        <v>132</v>
      </c>
      <c r="E288">
        <v>0</v>
      </c>
      <c r="F288">
        <v>0</v>
      </c>
      <c r="G288">
        <v>1</v>
      </c>
      <c r="H288">
        <f>IF(OR(A288&lt;18, A288&gt;40, B288&gt;=30), 1, 0)</f>
        <v>0</v>
      </c>
      <c r="I288">
        <f t="shared" si="12"/>
        <v>1</v>
      </c>
      <c r="J288">
        <f t="shared" si="13"/>
        <v>1</v>
      </c>
      <c r="K288" t="str">
        <f t="shared" si="14"/>
        <v>0.66</v>
      </c>
    </row>
    <row r="289" spans="1:11" x14ac:dyDescent="0.3">
      <c r="A289">
        <v>19</v>
      </c>
      <c r="B289">
        <v>20.966811429021899</v>
      </c>
      <c r="C289">
        <v>74</v>
      </c>
      <c r="D289">
        <v>134</v>
      </c>
      <c r="E289">
        <v>0</v>
      </c>
      <c r="F289">
        <v>0</v>
      </c>
      <c r="G289">
        <v>0</v>
      </c>
      <c r="H289">
        <f>IF(OR(A289&lt;18, A289&gt;40, B289&gt;=30), 1, 0)</f>
        <v>0</v>
      </c>
      <c r="I289">
        <f t="shared" si="12"/>
        <v>0</v>
      </c>
      <c r="J289">
        <f t="shared" si="13"/>
        <v>1</v>
      </c>
      <c r="K289" t="str">
        <f t="shared" si="14"/>
        <v>0.33</v>
      </c>
    </row>
    <row r="290" spans="1:11" x14ac:dyDescent="0.3">
      <c r="A290">
        <v>29</v>
      </c>
      <c r="B290">
        <v>21.591808636389299</v>
      </c>
      <c r="C290">
        <v>84</v>
      </c>
      <c r="D290">
        <v>136</v>
      </c>
      <c r="E290">
        <v>1</v>
      </c>
      <c r="F290">
        <v>0</v>
      </c>
      <c r="G290">
        <v>1</v>
      </c>
      <c r="H290">
        <f>IF(OR(A290&lt;18, A290&gt;40, B290&gt;=30), 1, 0)</f>
        <v>0</v>
      </c>
      <c r="I290">
        <f t="shared" si="12"/>
        <v>1</v>
      </c>
      <c r="J290">
        <f t="shared" si="13"/>
        <v>1</v>
      </c>
      <c r="K290" t="str">
        <f t="shared" si="14"/>
        <v>0.66</v>
      </c>
    </row>
    <row r="291" spans="1:11" x14ac:dyDescent="0.3">
      <c r="A291">
        <v>22</v>
      </c>
      <c r="B291">
        <v>30.718752503453899</v>
      </c>
      <c r="C291">
        <v>89</v>
      </c>
      <c r="D291">
        <v>120</v>
      </c>
      <c r="E291">
        <v>0</v>
      </c>
      <c r="F291">
        <v>1</v>
      </c>
      <c r="G291">
        <v>1</v>
      </c>
      <c r="H291">
        <f>IF(OR(A291&lt;18, A291&gt;40, B291&gt;=30), 1, 0)</f>
        <v>1</v>
      </c>
      <c r="I291">
        <f t="shared" si="12"/>
        <v>1</v>
      </c>
      <c r="J291">
        <f t="shared" si="13"/>
        <v>1</v>
      </c>
      <c r="K291" t="str">
        <f t="shared" si="14"/>
        <v>0.99</v>
      </c>
    </row>
    <row r="292" spans="1:11" x14ac:dyDescent="0.3">
      <c r="A292">
        <v>34</v>
      </c>
      <c r="B292">
        <v>33.752574215807599</v>
      </c>
      <c r="C292">
        <v>75</v>
      </c>
      <c r="D292">
        <v>124</v>
      </c>
      <c r="E292">
        <v>0</v>
      </c>
      <c r="F292">
        <v>1</v>
      </c>
      <c r="G292">
        <v>0</v>
      </c>
      <c r="H292">
        <f>IF(OR(A292&lt;18, A292&gt;40, B292&gt;=30), 1, 0)</f>
        <v>1</v>
      </c>
      <c r="I292">
        <f t="shared" si="12"/>
        <v>1</v>
      </c>
      <c r="J292">
        <f t="shared" si="13"/>
        <v>1</v>
      </c>
      <c r="K292" t="str">
        <f t="shared" si="14"/>
        <v>0.99</v>
      </c>
    </row>
    <row r="293" spans="1:11" x14ac:dyDescent="0.3">
      <c r="A293">
        <v>33</v>
      </c>
      <c r="B293">
        <v>23.6493336533632</v>
      </c>
      <c r="C293">
        <v>85</v>
      </c>
      <c r="D293">
        <v>135</v>
      </c>
      <c r="E293">
        <v>0</v>
      </c>
      <c r="F293">
        <v>1</v>
      </c>
      <c r="G293">
        <v>1</v>
      </c>
      <c r="H293">
        <f>IF(OR(A293&lt;18, A293&gt;40, B293&gt;=30), 1, 0)</f>
        <v>0</v>
      </c>
      <c r="I293">
        <f t="shared" si="12"/>
        <v>1</v>
      </c>
      <c r="J293">
        <f t="shared" si="13"/>
        <v>1</v>
      </c>
      <c r="K293" t="str">
        <f t="shared" si="14"/>
        <v>0.66</v>
      </c>
    </row>
    <row r="294" spans="1:11" x14ac:dyDescent="0.3">
      <c r="A294">
        <v>25</v>
      </c>
      <c r="B294">
        <v>24.601472378607401</v>
      </c>
      <c r="C294">
        <v>86</v>
      </c>
      <c r="D294">
        <v>130</v>
      </c>
      <c r="E294">
        <v>1</v>
      </c>
      <c r="F294">
        <v>1</v>
      </c>
      <c r="G294">
        <v>0</v>
      </c>
      <c r="H294">
        <f>IF(OR(A294&lt;18, A294&gt;40, B294&gt;=30), 1, 0)</f>
        <v>0</v>
      </c>
      <c r="I294">
        <f t="shared" si="12"/>
        <v>1</v>
      </c>
      <c r="J294">
        <f t="shared" si="13"/>
        <v>1</v>
      </c>
      <c r="K294" t="str">
        <f t="shared" si="14"/>
        <v>0.66</v>
      </c>
    </row>
    <row r="295" spans="1:11" x14ac:dyDescent="0.3">
      <c r="A295">
        <v>20</v>
      </c>
      <c r="B295">
        <v>20.514149197209399</v>
      </c>
      <c r="C295">
        <v>78</v>
      </c>
      <c r="D295">
        <v>129</v>
      </c>
      <c r="E295">
        <v>0</v>
      </c>
      <c r="F295">
        <v>1</v>
      </c>
      <c r="G295">
        <v>1</v>
      </c>
      <c r="H295">
        <f>IF(OR(A295&lt;18, A295&gt;40, B295&gt;=30), 1, 0)</f>
        <v>0</v>
      </c>
      <c r="I295">
        <f t="shared" si="12"/>
        <v>1</v>
      </c>
      <c r="J295">
        <f t="shared" si="13"/>
        <v>1</v>
      </c>
      <c r="K295" t="str">
        <f t="shared" si="14"/>
        <v>0.66</v>
      </c>
    </row>
    <row r="296" spans="1:11" x14ac:dyDescent="0.3">
      <c r="A296">
        <v>21</v>
      </c>
      <c r="B296">
        <v>19.0445289545139</v>
      </c>
      <c r="C296">
        <v>72</v>
      </c>
      <c r="D296">
        <v>128</v>
      </c>
      <c r="E296">
        <v>0</v>
      </c>
      <c r="F296">
        <v>1</v>
      </c>
      <c r="G296">
        <v>1</v>
      </c>
      <c r="H296">
        <f>IF(OR(A296&lt;18, A296&gt;40, B296&gt;=30), 1, 0)</f>
        <v>0</v>
      </c>
      <c r="I296">
        <f t="shared" si="12"/>
        <v>1</v>
      </c>
      <c r="J296">
        <f t="shared" si="13"/>
        <v>1</v>
      </c>
      <c r="K296" t="str">
        <f t="shared" si="14"/>
        <v>0.66</v>
      </c>
    </row>
    <row r="297" spans="1:11" x14ac:dyDescent="0.3">
      <c r="A297">
        <v>30</v>
      </c>
      <c r="B297">
        <v>22.916470987516</v>
      </c>
      <c r="C297">
        <v>76</v>
      </c>
      <c r="D297">
        <v>124</v>
      </c>
      <c r="E297">
        <v>0</v>
      </c>
      <c r="F297">
        <v>1</v>
      </c>
      <c r="G297">
        <v>0</v>
      </c>
      <c r="H297">
        <f>IF(OR(A297&lt;18, A297&gt;40, B297&gt;=30), 1, 0)</f>
        <v>0</v>
      </c>
      <c r="I297">
        <f t="shared" si="12"/>
        <v>1</v>
      </c>
      <c r="J297">
        <f t="shared" si="13"/>
        <v>1</v>
      </c>
      <c r="K297" t="str">
        <f t="shared" si="14"/>
        <v>0.66</v>
      </c>
    </row>
    <row r="298" spans="1:11" x14ac:dyDescent="0.3">
      <c r="A298">
        <v>27</v>
      </c>
      <c r="B298">
        <v>26.961232502501701</v>
      </c>
      <c r="C298">
        <v>85</v>
      </c>
      <c r="D298">
        <v>128</v>
      </c>
      <c r="E298">
        <v>0</v>
      </c>
      <c r="F298">
        <v>1</v>
      </c>
      <c r="G298">
        <v>0</v>
      </c>
      <c r="H298">
        <f>IF(OR(A298&lt;18, A298&gt;40, B298&gt;=30), 1, 0)</f>
        <v>0</v>
      </c>
      <c r="I298">
        <f t="shared" si="12"/>
        <v>1</v>
      </c>
      <c r="J298">
        <f t="shared" si="13"/>
        <v>1</v>
      </c>
      <c r="K298" t="str">
        <f t="shared" si="14"/>
        <v>0.66</v>
      </c>
    </row>
    <row r="299" spans="1:11" x14ac:dyDescent="0.3">
      <c r="A299">
        <v>29</v>
      </c>
      <c r="B299">
        <v>34.684059688375697</v>
      </c>
      <c r="C299">
        <v>79</v>
      </c>
      <c r="D299">
        <v>129</v>
      </c>
      <c r="E299">
        <v>1</v>
      </c>
      <c r="F299">
        <v>0</v>
      </c>
      <c r="G299">
        <v>1</v>
      </c>
      <c r="H299">
        <f>IF(OR(A299&lt;18, A299&gt;40, B299&gt;=30), 1, 0)</f>
        <v>1</v>
      </c>
      <c r="I299">
        <f t="shared" si="12"/>
        <v>1</v>
      </c>
      <c r="J299">
        <f t="shared" si="13"/>
        <v>1</v>
      </c>
      <c r="K299" t="str">
        <f t="shared" si="14"/>
        <v>0.99</v>
      </c>
    </row>
    <row r="300" spans="1:11" x14ac:dyDescent="0.3">
      <c r="A300">
        <v>29</v>
      </c>
      <c r="B300">
        <v>30.6559560761185</v>
      </c>
      <c r="C300">
        <v>85</v>
      </c>
      <c r="D300">
        <v>136</v>
      </c>
      <c r="E300">
        <v>0</v>
      </c>
      <c r="F300">
        <v>1</v>
      </c>
      <c r="G300">
        <v>0</v>
      </c>
      <c r="H300">
        <f>IF(OR(A300&lt;18, A300&gt;40, B300&gt;=30), 1, 0)</f>
        <v>1</v>
      </c>
      <c r="I300">
        <f t="shared" si="12"/>
        <v>1</v>
      </c>
      <c r="J300">
        <f t="shared" si="13"/>
        <v>1</v>
      </c>
      <c r="K300" t="str">
        <f t="shared" si="14"/>
        <v>0.99</v>
      </c>
    </row>
    <row r="301" spans="1:11" x14ac:dyDescent="0.3">
      <c r="A301">
        <v>23</v>
      </c>
      <c r="B301">
        <v>19.508575237232598</v>
      </c>
      <c r="C301">
        <v>73</v>
      </c>
      <c r="D301">
        <v>133</v>
      </c>
      <c r="E301">
        <v>1</v>
      </c>
      <c r="F301">
        <v>0</v>
      </c>
      <c r="G301">
        <v>1</v>
      </c>
      <c r="H301">
        <f>IF(OR(A301&lt;18, A301&gt;40, B301&gt;=30), 1, 0)</f>
        <v>0</v>
      </c>
      <c r="I301">
        <f t="shared" si="12"/>
        <v>1</v>
      </c>
      <c r="J301">
        <f t="shared" si="13"/>
        <v>1</v>
      </c>
      <c r="K301" t="str">
        <f t="shared" si="14"/>
        <v>0.66</v>
      </c>
    </row>
    <row r="302" spans="1:11" x14ac:dyDescent="0.3">
      <c r="A302">
        <v>18</v>
      </c>
      <c r="B302">
        <v>24.166935584531601</v>
      </c>
      <c r="C302">
        <v>82</v>
      </c>
      <c r="D302">
        <v>120</v>
      </c>
      <c r="E302">
        <v>0</v>
      </c>
      <c r="F302">
        <v>1</v>
      </c>
      <c r="G302">
        <v>0</v>
      </c>
      <c r="H302">
        <f>IF(OR(A302&lt;18, A302&gt;40, B302&gt;=30), 1, 0)</f>
        <v>0</v>
      </c>
      <c r="I302">
        <f t="shared" si="12"/>
        <v>1</v>
      </c>
      <c r="J302">
        <f t="shared" si="13"/>
        <v>1</v>
      </c>
      <c r="K302" t="str">
        <f t="shared" si="14"/>
        <v>0.66</v>
      </c>
    </row>
    <row r="303" spans="1:11" x14ac:dyDescent="0.3">
      <c r="A303">
        <v>29</v>
      </c>
      <c r="B303">
        <v>27.1419459036577</v>
      </c>
      <c r="C303">
        <v>79</v>
      </c>
      <c r="D303">
        <v>122</v>
      </c>
      <c r="E303">
        <v>0</v>
      </c>
      <c r="F303">
        <v>1</v>
      </c>
      <c r="G303">
        <v>1</v>
      </c>
      <c r="H303">
        <f>IF(OR(A303&lt;18, A303&gt;40, B303&gt;=30), 1, 0)</f>
        <v>0</v>
      </c>
      <c r="I303">
        <f t="shared" si="12"/>
        <v>1</v>
      </c>
      <c r="J303">
        <f t="shared" si="13"/>
        <v>1</v>
      </c>
      <c r="K303" t="str">
        <f t="shared" si="14"/>
        <v>0.66</v>
      </c>
    </row>
    <row r="304" spans="1:11" x14ac:dyDescent="0.3">
      <c r="A304">
        <v>27</v>
      </c>
      <c r="B304">
        <v>21.056908698570901</v>
      </c>
      <c r="C304">
        <v>86</v>
      </c>
      <c r="D304">
        <v>131</v>
      </c>
      <c r="E304">
        <v>0</v>
      </c>
      <c r="F304">
        <v>1</v>
      </c>
      <c r="G304">
        <v>0</v>
      </c>
      <c r="H304">
        <f>IF(OR(A304&lt;18, A304&gt;40, B304&gt;=30), 1, 0)</f>
        <v>0</v>
      </c>
      <c r="I304">
        <f t="shared" si="12"/>
        <v>1</v>
      </c>
      <c r="J304">
        <f t="shared" si="13"/>
        <v>1</v>
      </c>
      <c r="K304" t="str">
        <f t="shared" si="14"/>
        <v>0.66</v>
      </c>
    </row>
    <row r="305" spans="1:11" x14ac:dyDescent="0.3">
      <c r="A305">
        <v>27</v>
      </c>
      <c r="B305">
        <v>18.7229901746189</v>
      </c>
      <c r="C305">
        <v>80</v>
      </c>
      <c r="D305">
        <v>136</v>
      </c>
      <c r="E305">
        <v>1</v>
      </c>
      <c r="F305">
        <v>0</v>
      </c>
      <c r="G305">
        <v>1</v>
      </c>
      <c r="H305">
        <f>IF(OR(A305&lt;18, A305&gt;40, B305&gt;=30), 1, 0)</f>
        <v>0</v>
      </c>
      <c r="I305">
        <f t="shared" si="12"/>
        <v>1</v>
      </c>
      <c r="J305">
        <f t="shared" si="13"/>
        <v>1</v>
      </c>
      <c r="K305" t="str">
        <f t="shared" si="14"/>
        <v>0.66</v>
      </c>
    </row>
    <row r="306" spans="1:11" x14ac:dyDescent="0.3">
      <c r="A306">
        <v>24</v>
      </c>
      <c r="B306">
        <v>29.84949897297</v>
      </c>
      <c r="C306">
        <v>74</v>
      </c>
      <c r="D306">
        <v>136</v>
      </c>
      <c r="E306">
        <v>1</v>
      </c>
      <c r="F306">
        <v>0</v>
      </c>
      <c r="G306">
        <v>0</v>
      </c>
      <c r="H306">
        <f>IF(OR(A306&lt;18, A306&gt;40, B306&gt;=30), 1, 0)</f>
        <v>0</v>
      </c>
      <c r="I306">
        <f t="shared" si="12"/>
        <v>1</v>
      </c>
      <c r="J306">
        <f t="shared" si="13"/>
        <v>1</v>
      </c>
      <c r="K306" t="str">
        <f t="shared" si="14"/>
        <v>0.66</v>
      </c>
    </row>
    <row r="307" spans="1:11" x14ac:dyDescent="0.3">
      <c r="A307">
        <v>20</v>
      </c>
      <c r="B307">
        <v>24.114609232032201</v>
      </c>
      <c r="C307">
        <v>86</v>
      </c>
      <c r="D307">
        <v>129</v>
      </c>
      <c r="E307">
        <v>0</v>
      </c>
      <c r="F307">
        <v>0</v>
      </c>
      <c r="G307">
        <v>0</v>
      </c>
      <c r="H307">
        <f>IF(OR(A307&lt;18, A307&gt;40, B307&gt;=30), 1, 0)</f>
        <v>0</v>
      </c>
      <c r="I307">
        <f t="shared" si="12"/>
        <v>0</v>
      </c>
      <c r="J307">
        <f t="shared" si="13"/>
        <v>1</v>
      </c>
      <c r="K307" t="str">
        <f t="shared" si="14"/>
        <v>0.33</v>
      </c>
    </row>
    <row r="308" spans="1:11" x14ac:dyDescent="0.3">
      <c r="A308">
        <v>20</v>
      </c>
      <c r="B308">
        <v>31.234869681542001</v>
      </c>
      <c r="C308">
        <v>82</v>
      </c>
      <c r="D308">
        <v>134</v>
      </c>
      <c r="E308">
        <v>0</v>
      </c>
      <c r="F308">
        <v>1</v>
      </c>
      <c r="G308">
        <v>0</v>
      </c>
      <c r="H308">
        <f>IF(OR(A308&lt;18, A308&gt;40, B308&gt;=30), 1, 0)</f>
        <v>1</v>
      </c>
      <c r="I308">
        <f t="shared" si="12"/>
        <v>1</v>
      </c>
      <c r="J308">
        <f t="shared" si="13"/>
        <v>1</v>
      </c>
      <c r="K308" t="str">
        <f t="shared" si="14"/>
        <v>0.99</v>
      </c>
    </row>
    <row r="309" spans="1:11" x14ac:dyDescent="0.3">
      <c r="A309">
        <v>26</v>
      </c>
      <c r="B309">
        <v>29.579797892174401</v>
      </c>
      <c r="C309">
        <v>75</v>
      </c>
      <c r="D309">
        <v>121</v>
      </c>
      <c r="E309">
        <v>0</v>
      </c>
      <c r="F309">
        <v>0</v>
      </c>
      <c r="G309">
        <v>0</v>
      </c>
      <c r="H309">
        <f>IF(OR(A309&lt;18, A309&gt;40, B309&gt;=30), 1, 0)</f>
        <v>0</v>
      </c>
      <c r="I309">
        <f t="shared" si="12"/>
        <v>0</v>
      </c>
      <c r="J309">
        <f t="shared" si="13"/>
        <v>1</v>
      </c>
      <c r="K309" t="str">
        <f t="shared" si="14"/>
        <v>0.33</v>
      </c>
    </row>
    <row r="310" spans="1:11" x14ac:dyDescent="0.3">
      <c r="A310">
        <v>31</v>
      </c>
      <c r="B310">
        <v>23.509270027689599</v>
      </c>
      <c r="C310">
        <v>85</v>
      </c>
      <c r="D310">
        <v>132</v>
      </c>
      <c r="E310">
        <v>0</v>
      </c>
      <c r="F310">
        <v>1</v>
      </c>
      <c r="G310">
        <v>0</v>
      </c>
      <c r="H310">
        <f>IF(OR(A310&lt;18, A310&gt;40, B310&gt;=30), 1, 0)</f>
        <v>0</v>
      </c>
      <c r="I310">
        <f t="shared" si="12"/>
        <v>1</v>
      </c>
      <c r="J310">
        <f t="shared" si="13"/>
        <v>1</v>
      </c>
      <c r="K310" t="str">
        <f t="shared" si="14"/>
        <v>0.66</v>
      </c>
    </row>
    <row r="311" spans="1:11" x14ac:dyDescent="0.3">
      <c r="A311">
        <v>34</v>
      </c>
      <c r="B311">
        <v>32.484279804461003</v>
      </c>
      <c r="C311">
        <v>80</v>
      </c>
      <c r="D311">
        <v>123</v>
      </c>
      <c r="E311">
        <v>0</v>
      </c>
      <c r="F311">
        <v>1</v>
      </c>
      <c r="G311">
        <v>1</v>
      </c>
      <c r="H311">
        <f>IF(OR(A311&lt;18, A311&gt;40, B311&gt;=30), 1, 0)</f>
        <v>1</v>
      </c>
      <c r="I311">
        <f t="shared" si="12"/>
        <v>1</v>
      </c>
      <c r="J311">
        <f t="shared" si="13"/>
        <v>1</v>
      </c>
      <c r="K311" t="str">
        <f t="shared" si="14"/>
        <v>0.99</v>
      </c>
    </row>
    <row r="312" spans="1:11" x14ac:dyDescent="0.3">
      <c r="A312">
        <v>28</v>
      </c>
      <c r="B312">
        <v>19.593454250346198</v>
      </c>
      <c r="C312">
        <v>88</v>
      </c>
      <c r="D312">
        <v>124</v>
      </c>
      <c r="E312">
        <v>1</v>
      </c>
      <c r="F312">
        <v>1</v>
      </c>
      <c r="G312">
        <v>1</v>
      </c>
      <c r="H312">
        <f>IF(OR(A312&lt;18, A312&gt;40, B312&gt;=30), 1, 0)</f>
        <v>0</v>
      </c>
      <c r="I312">
        <f t="shared" si="12"/>
        <v>1</v>
      </c>
      <c r="J312">
        <f t="shared" si="13"/>
        <v>1</v>
      </c>
      <c r="K312" t="str">
        <f t="shared" si="14"/>
        <v>0.66</v>
      </c>
    </row>
    <row r="313" spans="1:11" x14ac:dyDescent="0.3">
      <c r="A313">
        <v>27</v>
      </c>
      <c r="B313">
        <v>27.616733463941198</v>
      </c>
      <c r="C313">
        <v>78</v>
      </c>
      <c r="D313">
        <v>131</v>
      </c>
      <c r="E313">
        <v>1</v>
      </c>
      <c r="F313">
        <v>1</v>
      </c>
      <c r="G313">
        <v>0</v>
      </c>
      <c r="H313">
        <f>IF(OR(A313&lt;18, A313&gt;40, B313&gt;=30), 1, 0)</f>
        <v>0</v>
      </c>
      <c r="I313">
        <f t="shared" si="12"/>
        <v>1</v>
      </c>
      <c r="J313">
        <f t="shared" si="13"/>
        <v>1</v>
      </c>
      <c r="K313" t="str">
        <f t="shared" si="14"/>
        <v>0.66</v>
      </c>
    </row>
    <row r="314" spans="1:11" x14ac:dyDescent="0.3">
      <c r="A314">
        <v>21</v>
      </c>
      <c r="B314">
        <v>19.164801906771</v>
      </c>
      <c r="C314">
        <v>72</v>
      </c>
      <c r="D314">
        <v>126</v>
      </c>
      <c r="E314">
        <v>0</v>
      </c>
      <c r="F314">
        <v>0</v>
      </c>
      <c r="G314">
        <v>1</v>
      </c>
      <c r="H314">
        <f>IF(OR(A314&lt;18, A314&gt;40, B314&gt;=30), 1, 0)</f>
        <v>0</v>
      </c>
      <c r="I314">
        <f t="shared" si="12"/>
        <v>1</v>
      </c>
      <c r="J314">
        <f t="shared" si="13"/>
        <v>1</v>
      </c>
      <c r="K314" t="str">
        <f t="shared" si="14"/>
        <v>0.66</v>
      </c>
    </row>
    <row r="315" spans="1:11" x14ac:dyDescent="0.3">
      <c r="A315">
        <v>22</v>
      </c>
      <c r="B315">
        <v>27.717293765499299</v>
      </c>
      <c r="C315">
        <v>81</v>
      </c>
      <c r="D315">
        <v>121</v>
      </c>
      <c r="E315">
        <v>1</v>
      </c>
      <c r="F315">
        <v>0</v>
      </c>
      <c r="G315">
        <v>1</v>
      </c>
      <c r="H315">
        <f>IF(OR(A315&lt;18, A315&gt;40, B315&gt;=30), 1, 0)</f>
        <v>0</v>
      </c>
      <c r="I315">
        <f t="shared" si="12"/>
        <v>1</v>
      </c>
      <c r="J315">
        <f t="shared" si="13"/>
        <v>1</v>
      </c>
      <c r="K315" t="str">
        <f t="shared" si="14"/>
        <v>0.66</v>
      </c>
    </row>
    <row r="316" spans="1:11" x14ac:dyDescent="0.3">
      <c r="A316">
        <v>22</v>
      </c>
      <c r="B316">
        <v>34.555368914227898</v>
      </c>
      <c r="C316">
        <v>88</v>
      </c>
      <c r="D316">
        <v>135</v>
      </c>
      <c r="E316">
        <v>0</v>
      </c>
      <c r="F316">
        <v>1</v>
      </c>
      <c r="G316">
        <v>1</v>
      </c>
      <c r="H316">
        <f>IF(OR(A316&lt;18, A316&gt;40, B316&gt;=30), 1, 0)</f>
        <v>1</v>
      </c>
      <c r="I316">
        <f t="shared" si="12"/>
        <v>1</v>
      </c>
      <c r="J316">
        <f t="shared" si="13"/>
        <v>1</v>
      </c>
      <c r="K316" t="str">
        <f t="shared" si="14"/>
        <v>0.99</v>
      </c>
    </row>
    <row r="317" spans="1:11" x14ac:dyDescent="0.3">
      <c r="A317">
        <v>33</v>
      </c>
      <c r="B317">
        <v>19.612996766336501</v>
      </c>
      <c r="C317">
        <v>89</v>
      </c>
      <c r="D317">
        <v>129</v>
      </c>
      <c r="E317">
        <v>0</v>
      </c>
      <c r="F317">
        <v>1</v>
      </c>
      <c r="G317">
        <v>1</v>
      </c>
      <c r="H317">
        <f>IF(OR(A317&lt;18, A317&gt;40, B317&gt;=30), 1, 0)</f>
        <v>0</v>
      </c>
      <c r="I317">
        <f t="shared" si="12"/>
        <v>1</v>
      </c>
      <c r="J317">
        <f t="shared" si="13"/>
        <v>1</v>
      </c>
      <c r="K317" t="str">
        <f t="shared" si="14"/>
        <v>0.66</v>
      </c>
    </row>
    <row r="318" spans="1:11" x14ac:dyDescent="0.3">
      <c r="A318">
        <v>30</v>
      </c>
      <c r="B318">
        <v>25.116254825954201</v>
      </c>
      <c r="C318">
        <v>70</v>
      </c>
      <c r="D318">
        <v>133</v>
      </c>
      <c r="E318">
        <v>0</v>
      </c>
      <c r="F318">
        <v>1</v>
      </c>
      <c r="G318">
        <v>0</v>
      </c>
      <c r="H318">
        <f>IF(OR(A318&lt;18, A318&gt;40, B318&gt;=30), 1, 0)</f>
        <v>0</v>
      </c>
      <c r="I318">
        <f t="shared" si="12"/>
        <v>1</v>
      </c>
      <c r="J318">
        <f t="shared" si="13"/>
        <v>1</v>
      </c>
      <c r="K318" t="str">
        <f t="shared" si="14"/>
        <v>0.66</v>
      </c>
    </row>
    <row r="319" spans="1:11" x14ac:dyDescent="0.3">
      <c r="A319">
        <v>23</v>
      </c>
      <c r="B319">
        <v>34.788398499335202</v>
      </c>
      <c r="C319">
        <v>70</v>
      </c>
      <c r="D319">
        <v>130</v>
      </c>
      <c r="E319">
        <v>0</v>
      </c>
      <c r="F319">
        <v>0</v>
      </c>
      <c r="G319">
        <v>0</v>
      </c>
      <c r="H319">
        <f>IF(OR(A319&lt;18, A319&gt;40, B319&gt;=30), 1, 0)</f>
        <v>1</v>
      </c>
      <c r="I319">
        <f t="shared" si="12"/>
        <v>0</v>
      </c>
      <c r="J319">
        <f t="shared" si="13"/>
        <v>1</v>
      </c>
      <c r="K319" t="str">
        <f t="shared" si="14"/>
        <v>0.66</v>
      </c>
    </row>
    <row r="320" spans="1:11" x14ac:dyDescent="0.3">
      <c r="A320">
        <v>29</v>
      </c>
      <c r="B320">
        <v>20.4144164445167</v>
      </c>
      <c r="C320">
        <v>74</v>
      </c>
      <c r="D320">
        <v>132</v>
      </c>
      <c r="E320">
        <v>0</v>
      </c>
      <c r="F320">
        <v>1</v>
      </c>
      <c r="G320">
        <v>1</v>
      </c>
      <c r="H320">
        <f>IF(OR(A320&lt;18, A320&gt;40, B320&gt;=30), 1, 0)</f>
        <v>0</v>
      </c>
      <c r="I320">
        <f t="shared" si="12"/>
        <v>1</v>
      </c>
      <c r="J320">
        <f t="shared" si="13"/>
        <v>1</v>
      </c>
      <c r="K320" t="str">
        <f t="shared" si="14"/>
        <v>0.66</v>
      </c>
    </row>
    <row r="321" spans="1:11" x14ac:dyDescent="0.3">
      <c r="A321">
        <v>23</v>
      </c>
      <c r="B321">
        <v>25.143420523902201</v>
      </c>
      <c r="C321">
        <v>80</v>
      </c>
      <c r="D321">
        <v>126</v>
      </c>
      <c r="E321">
        <v>1</v>
      </c>
      <c r="F321">
        <v>0</v>
      </c>
      <c r="G321">
        <v>1</v>
      </c>
      <c r="H321">
        <f>IF(OR(A321&lt;18, A321&gt;40, B321&gt;=30), 1, 0)</f>
        <v>0</v>
      </c>
      <c r="I321">
        <f t="shared" si="12"/>
        <v>1</v>
      </c>
      <c r="J321">
        <f t="shared" si="13"/>
        <v>1</v>
      </c>
      <c r="K321" t="str">
        <f t="shared" si="14"/>
        <v>0.66</v>
      </c>
    </row>
    <row r="322" spans="1:11" x14ac:dyDescent="0.3">
      <c r="A322">
        <v>31</v>
      </c>
      <c r="B322">
        <v>29.562466859499601</v>
      </c>
      <c r="C322">
        <v>74</v>
      </c>
      <c r="D322">
        <v>133</v>
      </c>
      <c r="E322">
        <v>1</v>
      </c>
      <c r="F322">
        <v>1</v>
      </c>
      <c r="G322">
        <v>0</v>
      </c>
      <c r="H322">
        <f>IF(OR(A322&lt;18, A322&gt;40, B322&gt;=30), 1, 0)</f>
        <v>0</v>
      </c>
      <c r="I322">
        <f t="shared" si="12"/>
        <v>1</v>
      </c>
      <c r="J322">
        <f t="shared" si="13"/>
        <v>1</v>
      </c>
      <c r="K322" t="str">
        <f t="shared" si="14"/>
        <v>0.66</v>
      </c>
    </row>
    <row r="323" spans="1:11" x14ac:dyDescent="0.3">
      <c r="A323">
        <v>32</v>
      </c>
      <c r="B323">
        <v>18.432249941393898</v>
      </c>
      <c r="C323">
        <v>75</v>
      </c>
      <c r="D323">
        <v>130</v>
      </c>
      <c r="E323">
        <v>1</v>
      </c>
      <c r="F323">
        <v>1</v>
      </c>
      <c r="G323">
        <v>1</v>
      </c>
      <c r="H323">
        <f>IF(OR(A323&lt;18, A323&gt;40, B323&gt;=30), 1, 0)</f>
        <v>0</v>
      </c>
      <c r="I323">
        <f t="shared" ref="I323:I386" si="15">IF(OR(E323=1, F323=1, G323=1), 1, 0)</f>
        <v>1</v>
      </c>
      <c r="J323">
        <f t="shared" ref="J323:J386" si="16">IF(OR(C323&gt;=140, D323&gt;=90), 1, 0)</f>
        <v>1</v>
      </c>
      <c r="K323" t="str">
        <f t="shared" ref="K323:K386" si="17">IF((H323+I323+J323)=3, "0.99", IF((H323+I323+J323)=2, "0.66", IF((H323+I323+J323)=1, "0.33", "0.0")))</f>
        <v>0.66</v>
      </c>
    </row>
    <row r="324" spans="1:11" x14ac:dyDescent="0.3">
      <c r="A324">
        <v>32</v>
      </c>
      <c r="B324">
        <v>25.9376753415529</v>
      </c>
      <c r="C324">
        <v>83</v>
      </c>
      <c r="D324">
        <v>125</v>
      </c>
      <c r="E324">
        <v>0</v>
      </c>
      <c r="F324">
        <v>1</v>
      </c>
      <c r="G324">
        <v>1</v>
      </c>
      <c r="H324">
        <f>IF(OR(A324&lt;18, A324&gt;40, B324&gt;=30), 1, 0)</f>
        <v>0</v>
      </c>
      <c r="I324">
        <f t="shared" si="15"/>
        <v>1</v>
      </c>
      <c r="J324">
        <f t="shared" si="16"/>
        <v>1</v>
      </c>
      <c r="K324" t="str">
        <f t="shared" si="17"/>
        <v>0.66</v>
      </c>
    </row>
    <row r="325" spans="1:11" x14ac:dyDescent="0.3">
      <c r="A325">
        <v>31</v>
      </c>
      <c r="B325">
        <v>34.803619152497802</v>
      </c>
      <c r="C325">
        <v>83</v>
      </c>
      <c r="D325">
        <v>126</v>
      </c>
      <c r="E325">
        <v>0</v>
      </c>
      <c r="F325">
        <v>1</v>
      </c>
      <c r="G325">
        <v>1</v>
      </c>
      <c r="H325">
        <f>IF(OR(A325&lt;18, A325&gt;40, B325&gt;=30), 1, 0)</f>
        <v>1</v>
      </c>
      <c r="I325">
        <f t="shared" si="15"/>
        <v>1</v>
      </c>
      <c r="J325">
        <f t="shared" si="16"/>
        <v>1</v>
      </c>
      <c r="K325" t="str">
        <f t="shared" si="17"/>
        <v>0.99</v>
      </c>
    </row>
    <row r="326" spans="1:11" x14ac:dyDescent="0.3">
      <c r="A326">
        <v>32</v>
      </c>
      <c r="B326">
        <v>25.393854509626099</v>
      </c>
      <c r="C326">
        <v>78</v>
      </c>
      <c r="D326">
        <v>125</v>
      </c>
      <c r="E326">
        <v>0</v>
      </c>
      <c r="F326">
        <v>1</v>
      </c>
      <c r="G326">
        <v>1</v>
      </c>
      <c r="H326">
        <f>IF(OR(A326&lt;18, A326&gt;40, B326&gt;=30), 1, 0)</f>
        <v>0</v>
      </c>
      <c r="I326">
        <f t="shared" si="15"/>
        <v>1</v>
      </c>
      <c r="J326">
        <f t="shared" si="16"/>
        <v>1</v>
      </c>
      <c r="K326" t="str">
        <f t="shared" si="17"/>
        <v>0.66</v>
      </c>
    </row>
    <row r="327" spans="1:11" x14ac:dyDescent="0.3">
      <c r="A327">
        <v>29</v>
      </c>
      <c r="B327">
        <v>32.984654755118299</v>
      </c>
      <c r="C327">
        <v>73</v>
      </c>
      <c r="D327">
        <v>129</v>
      </c>
      <c r="E327">
        <v>0</v>
      </c>
      <c r="F327">
        <v>1</v>
      </c>
      <c r="G327">
        <v>0</v>
      </c>
      <c r="H327">
        <f>IF(OR(A327&lt;18, A327&gt;40, B327&gt;=30), 1, 0)</f>
        <v>1</v>
      </c>
      <c r="I327">
        <f t="shared" si="15"/>
        <v>1</v>
      </c>
      <c r="J327">
        <f t="shared" si="16"/>
        <v>1</v>
      </c>
      <c r="K327" t="str">
        <f t="shared" si="17"/>
        <v>0.99</v>
      </c>
    </row>
    <row r="328" spans="1:11" x14ac:dyDescent="0.3">
      <c r="A328">
        <v>33</v>
      </c>
      <c r="B328">
        <v>22.4314606122737</v>
      </c>
      <c r="C328">
        <v>76</v>
      </c>
      <c r="D328">
        <v>127</v>
      </c>
      <c r="E328">
        <v>1</v>
      </c>
      <c r="F328">
        <v>1</v>
      </c>
      <c r="G328">
        <v>0</v>
      </c>
      <c r="H328">
        <f>IF(OR(A328&lt;18, A328&gt;40, B328&gt;=30), 1, 0)</f>
        <v>0</v>
      </c>
      <c r="I328">
        <f t="shared" si="15"/>
        <v>1</v>
      </c>
      <c r="J328">
        <f t="shared" si="16"/>
        <v>1</v>
      </c>
      <c r="K328" t="str">
        <f t="shared" si="17"/>
        <v>0.66</v>
      </c>
    </row>
    <row r="329" spans="1:11" x14ac:dyDescent="0.3">
      <c r="A329">
        <v>28</v>
      </c>
      <c r="B329">
        <v>22.155735024765502</v>
      </c>
      <c r="C329">
        <v>75</v>
      </c>
      <c r="D329">
        <v>123</v>
      </c>
      <c r="E329">
        <v>1</v>
      </c>
      <c r="F329">
        <v>0</v>
      </c>
      <c r="G329">
        <v>0</v>
      </c>
      <c r="H329">
        <f>IF(OR(A329&lt;18, A329&gt;40, B329&gt;=30), 1, 0)</f>
        <v>0</v>
      </c>
      <c r="I329">
        <f t="shared" si="15"/>
        <v>1</v>
      </c>
      <c r="J329">
        <f t="shared" si="16"/>
        <v>1</v>
      </c>
      <c r="K329" t="str">
        <f t="shared" si="17"/>
        <v>0.66</v>
      </c>
    </row>
    <row r="330" spans="1:11" x14ac:dyDescent="0.3">
      <c r="A330">
        <v>29</v>
      </c>
      <c r="B330">
        <v>25.852931353913199</v>
      </c>
      <c r="C330">
        <v>84</v>
      </c>
      <c r="D330">
        <v>135</v>
      </c>
      <c r="E330">
        <v>0</v>
      </c>
      <c r="F330">
        <v>1</v>
      </c>
      <c r="G330">
        <v>1</v>
      </c>
      <c r="H330">
        <f>IF(OR(A330&lt;18, A330&gt;40, B330&gt;=30), 1, 0)</f>
        <v>0</v>
      </c>
      <c r="I330">
        <f t="shared" si="15"/>
        <v>1</v>
      </c>
      <c r="J330">
        <f t="shared" si="16"/>
        <v>1</v>
      </c>
      <c r="K330" t="str">
        <f t="shared" si="17"/>
        <v>0.66</v>
      </c>
    </row>
    <row r="331" spans="1:11" x14ac:dyDescent="0.3">
      <c r="A331">
        <v>31</v>
      </c>
      <c r="B331">
        <v>19.985656210886201</v>
      </c>
      <c r="C331">
        <v>87</v>
      </c>
      <c r="D331">
        <v>120</v>
      </c>
      <c r="E331">
        <v>1</v>
      </c>
      <c r="F331">
        <v>1</v>
      </c>
      <c r="G331">
        <v>0</v>
      </c>
      <c r="H331">
        <f>IF(OR(A331&lt;18, A331&gt;40, B331&gt;=30), 1, 0)</f>
        <v>0</v>
      </c>
      <c r="I331">
        <f t="shared" si="15"/>
        <v>1</v>
      </c>
      <c r="J331">
        <f t="shared" si="16"/>
        <v>1</v>
      </c>
      <c r="K331" t="str">
        <f t="shared" si="17"/>
        <v>0.66</v>
      </c>
    </row>
    <row r="332" spans="1:11" x14ac:dyDescent="0.3">
      <c r="A332">
        <v>33</v>
      </c>
      <c r="B332">
        <v>24.119152187421101</v>
      </c>
      <c r="C332">
        <v>75</v>
      </c>
      <c r="D332">
        <v>126</v>
      </c>
      <c r="E332">
        <v>1</v>
      </c>
      <c r="F332">
        <v>0</v>
      </c>
      <c r="G332">
        <v>0</v>
      </c>
      <c r="H332">
        <f>IF(OR(A332&lt;18, A332&gt;40, B332&gt;=30), 1, 0)</f>
        <v>0</v>
      </c>
      <c r="I332">
        <f t="shared" si="15"/>
        <v>1</v>
      </c>
      <c r="J332">
        <f t="shared" si="16"/>
        <v>1</v>
      </c>
      <c r="K332" t="str">
        <f t="shared" si="17"/>
        <v>0.66</v>
      </c>
    </row>
    <row r="333" spans="1:11" x14ac:dyDescent="0.3">
      <c r="A333">
        <v>26</v>
      </c>
      <c r="B333">
        <v>30.478606200342401</v>
      </c>
      <c r="C333">
        <v>85</v>
      </c>
      <c r="D333">
        <v>133</v>
      </c>
      <c r="E333">
        <v>1</v>
      </c>
      <c r="F333">
        <v>0</v>
      </c>
      <c r="G333">
        <v>0</v>
      </c>
      <c r="H333">
        <f>IF(OR(A333&lt;18, A333&gt;40, B333&gt;=30), 1, 0)</f>
        <v>1</v>
      </c>
      <c r="I333">
        <f t="shared" si="15"/>
        <v>1</v>
      </c>
      <c r="J333">
        <f t="shared" si="16"/>
        <v>1</v>
      </c>
      <c r="K333" t="str">
        <f t="shared" si="17"/>
        <v>0.99</v>
      </c>
    </row>
    <row r="334" spans="1:11" x14ac:dyDescent="0.3">
      <c r="A334">
        <v>28</v>
      </c>
      <c r="B334">
        <v>25.686382116146898</v>
      </c>
      <c r="C334">
        <v>81</v>
      </c>
      <c r="D334">
        <v>128</v>
      </c>
      <c r="E334">
        <v>1</v>
      </c>
      <c r="F334">
        <v>1</v>
      </c>
      <c r="G334">
        <v>0</v>
      </c>
      <c r="H334">
        <f>IF(OR(A334&lt;18, A334&gt;40, B334&gt;=30), 1, 0)</f>
        <v>0</v>
      </c>
      <c r="I334">
        <f t="shared" si="15"/>
        <v>1</v>
      </c>
      <c r="J334">
        <f t="shared" si="16"/>
        <v>1</v>
      </c>
      <c r="K334" t="str">
        <f t="shared" si="17"/>
        <v>0.66</v>
      </c>
    </row>
    <row r="335" spans="1:11" x14ac:dyDescent="0.3">
      <c r="A335">
        <v>29</v>
      </c>
      <c r="B335">
        <v>28.988509325037999</v>
      </c>
      <c r="C335">
        <v>86</v>
      </c>
      <c r="D335">
        <v>128</v>
      </c>
      <c r="E335">
        <v>0</v>
      </c>
      <c r="F335">
        <v>0</v>
      </c>
      <c r="G335">
        <v>1</v>
      </c>
      <c r="H335">
        <f>IF(OR(A335&lt;18, A335&gt;40, B335&gt;=30), 1, 0)</f>
        <v>0</v>
      </c>
      <c r="I335">
        <f t="shared" si="15"/>
        <v>1</v>
      </c>
      <c r="J335">
        <f t="shared" si="16"/>
        <v>1</v>
      </c>
      <c r="K335" t="str">
        <f t="shared" si="17"/>
        <v>0.66</v>
      </c>
    </row>
    <row r="336" spans="1:11" x14ac:dyDescent="0.3">
      <c r="A336">
        <v>32</v>
      </c>
      <c r="B336">
        <v>26.100099902472898</v>
      </c>
      <c r="C336">
        <v>72</v>
      </c>
      <c r="D336">
        <v>138</v>
      </c>
      <c r="E336">
        <v>1</v>
      </c>
      <c r="F336">
        <v>1</v>
      </c>
      <c r="G336">
        <v>1</v>
      </c>
      <c r="H336">
        <f>IF(OR(A336&lt;18, A336&gt;40, B336&gt;=30), 1, 0)</f>
        <v>0</v>
      </c>
      <c r="I336">
        <f t="shared" si="15"/>
        <v>1</v>
      </c>
      <c r="J336">
        <f t="shared" si="16"/>
        <v>1</v>
      </c>
      <c r="K336" t="str">
        <f t="shared" si="17"/>
        <v>0.66</v>
      </c>
    </row>
    <row r="337" spans="1:11" x14ac:dyDescent="0.3">
      <c r="A337">
        <v>26</v>
      </c>
      <c r="B337">
        <v>26.112863030397101</v>
      </c>
      <c r="C337">
        <v>83</v>
      </c>
      <c r="D337">
        <v>128</v>
      </c>
      <c r="E337">
        <v>1</v>
      </c>
      <c r="F337">
        <v>1</v>
      </c>
      <c r="G337">
        <v>1</v>
      </c>
      <c r="H337">
        <f>IF(OR(A337&lt;18, A337&gt;40, B337&gt;=30), 1, 0)</f>
        <v>0</v>
      </c>
      <c r="I337">
        <f t="shared" si="15"/>
        <v>1</v>
      </c>
      <c r="J337">
        <f t="shared" si="16"/>
        <v>1</v>
      </c>
      <c r="K337" t="str">
        <f t="shared" si="17"/>
        <v>0.66</v>
      </c>
    </row>
    <row r="338" spans="1:11" x14ac:dyDescent="0.3">
      <c r="A338">
        <v>24</v>
      </c>
      <c r="B338">
        <v>25.6644263108624</v>
      </c>
      <c r="C338">
        <v>76</v>
      </c>
      <c r="D338">
        <v>131</v>
      </c>
      <c r="E338">
        <v>0</v>
      </c>
      <c r="F338">
        <v>1</v>
      </c>
      <c r="G338">
        <v>0</v>
      </c>
      <c r="H338">
        <f>IF(OR(A338&lt;18, A338&gt;40, B338&gt;=30), 1, 0)</f>
        <v>0</v>
      </c>
      <c r="I338">
        <f t="shared" si="15"/>
        <v>1</v>
      </c>
      <c r="J338">
        <f t="shared" si="16"/>
        <v>1</v>
      </c>
      <c r="K338" t="str">
        <f t="shared" si="17"/>
        <v>0.66</v>
      </c>
    </row>
    <row r="339" spans="1:11" x14ac:dyDescent="0.3">
      <c r="A339">
        <v>25</v>
      </c>
      <c r="B339">
        <v>23.124642649310399</v>
      </c>
      <c r="C339">
        <v>80</v>
      </c>
      <c r="D339">
        <v>139</v>
      </c>
      <c r="E339">
        <v>1</v>
      </c>
      <c r="F339">
        <v>1</v>
      </c>
      <c r="G339">
        <v>0</v>
      </c>
      <c r="H339">
        <f>IF(OR(A339&lt;18, A339&gt;40, B339&gt;=30), 1, 0)</f>
        <v>0</v>
      </c>
      <c r="I339">
        <f t="shared" si="15"/>
        <v>1</v>
      </c>
      <c r="J339">
        <f t="shared" si="16"/>
        <v>1</v>
      </c>
      <c r="K339" t="str">
        <f t="shared" si="17"/>
        <v>0.66</v>
      </c>
    </row>
    <row r="340" spans="1:11" x14ac:dyDescent="0.3">
      <c r="A340">
        <v>23</v>
      </c>
      <c r="B340">
        <v>26.6634511831715</v>
      </c>
      <c r="C340">
        <v>70</v>
      </c>
      <c r="D340">
        <v>127</v>
      </c>
      <c r="E340">
        <v>1</v>
      </c>
      <c r="F340">
        <v>1</v>
      </c>
      <c r="G340">
        <v>1</v>
      </c>
      <c r="H340">
        <f>IF(OR(A340&lt;18, A340&gt;40, B340&gt;=30), 1, 0)</f>
        <v>0</v>
      </c>
      <c r="I340">
        <f t="shared" si="15"/>
        <v>1</v>
      </c>
      <c r="J340">
        <f t="shared" si="16"/>
        <v>1</v>
      </c>
      <c r="K340" t="str">
        <f t="shared" si="17"/>
        <v>0.66</v>
      </c>
    </row>
    <row r="341" spans="1:11" x14ac:dyDescent="0.3">
      <c r="A341">
        <v>23</v>
      </c>
      <c r="B341">
        <v>23.820787548671898</v>
      </c>
      <c r="C341">
        <v>80</v>
      </c>
      <c r="D341">
        <v>123</v>
      </c>
      <c r="E341">
        <v>0</v>
      </c>
      <c r="F341">
        <v>0</v>
      </c>
      <c r="G341">
        <v>0</v>
      </c>
      <c r="H341">
        <f>IF(OR(A341&lt;18, A341&gt;40, B341&gt;=30), 1, 0)</f>
        <v>0</v>
      </c>
      <c r="I341">
        <f t="shared" si="15"/>
        <v>0</v>
      </c>
      <c r="J341">
        <f t="shared" si="16"/>
        <v>1</v>
      </c>
      <c r="K341" t="str">
        <f t="shared" si="17"/>
        <v>0.33</v>
      </c>
    </row>
    <row r="342" spans="1:11" x14ac:dyDescent="0.3">
      <c r="A342">
        <v>21</v>
      </c>
      <c r="B342">
        <v>30.7180214361765</v>
      </c>
      <c r="C342">
        <v>79</v>
      </c>
      <c r="D342">
        <v>129</v>
      </c>
      <c r="E342">
        <v>0</v>
      </c>
      <c r="F342">
        <v>0</v>
      </c>
      <c r="G342">
        <v>0</v>
      </c>
      <c r="H342">
        <f>IF(OR(A342&lt;18, A342&gt;40, B342&gt;=30), 1, 0)</f>
        <v>1</v>
      </c>
      <c r="I342">
        <f t="shared" si="15"/>
        <v>0</v>
      </c>
      <c r="J342">
        <f t="shared" si="16"/>
        <v>1</v>
      </c>
      <c r="K342" t="str">
        <f t="shared" si="17"/>
        <v>0.66</v>
      </c>
    </row>
    <row r="343" spans="1:11" x14ac:dyDescent="0.3">
      <c r="A343">
        <v>30</v>
      </c>
      <c r="B343">
        <v>33.442173342389999</v>
      </c>
      <c r="C343">
        <v>81</v>
      </c>
      <c r="D343">
        <v>139</v>
      </c>
      <c r="E343">
        <v>1</v>
      </c>
      <c r="F343">
        <v>0</v>
      </c>
      <c r="G343">
        <v>0</v>
      </c>
      <c r="H343">
        <f>IF(OR(A343&lt;18, A343&gt;40, B343&gt;=30), 1, 0)</f>
        <v>1</v>
      </c>
      <c r="I343">
        <f t="shared" si="15"/>
        <v>1</v>
      </c>
      <c r="J343">
        <f t="shared" si="16"/>
        <v>1</v>
      </c>
      <c r="K343" t="str">
        <f t="shared" si="17"/>
        <v>0.99</v>
      </c>
    </row>
    <row r="344" spans="1:11" x14ac:dyDescent="0.3">
      <c r="A344">
        <v>20</v>
      </c>
      <c r="B344">
        <v>30.661073869750702</v>
      </c>
      <c r="C344">
        <v>73</v>
      </c>
      <c r="D344">
        <v>134</v>
      </c>
      <c r="E344">
        <v>1</v>
      </c>
      <c r="F344">
        <v>0</v>
      </c>
      <c r="G344">
        <v>1</v>
      </c>
      <c r="H344">
        <f>IF(OR(A344&lt;18, A344&gt;40, B344&gt;=30), 1, 0)</f>
        <v>1</v>
      </c>
      <c r="I344">
        <f t="shared" si="15"/>
        <v>1</v>
      </c>
      <c r="J344">
        <f t="shared" si="16"/>
        <v>1</v>
      </c>
      <c r="K344" t="str">
        <f t="shared" si="17"/>
        <v>0.99</v>
      </c>
    </row>
    <row r="345" spans="1:11" x14ac:dyDescent="0.3">
      <c r="A345">
        <v>34</v>
      </c>
      <c r="B345">
        <v>25.611033195460099</v>
      </c>
      <c r="C345">
        <v>81</v>
      </c>
      <c r="D345">
        <v>126</v>
      </c>
      <c r="E345">
        <v>0</v>
      </c>
      <c r="F345">
        <v>0</v>
      </c>
      <c r="G345">
        <v>1</v>
      </c>
      <c r="H345">
        <f>IF(OR(A345&lt;18, A345&gt;40, B345&gt;=30), 1, 0)</f>
        <v>0</v>
      </c>
      <c r="I345">
        <f t="shared" si="15"/>
        <v>1</v>
      </c>
      <c r="J345">
        <f t="shared" si="16"/>
        <v>1</v>
      </c>
      <c r="K345" t="str">
        <f t="shared" si="17"/>
        <v>0.66</v>
      </c>
    </row>
    <row r="346" spans="1:11" x14ac:dyDescent="0.3">
      <c r="A346">
        <v>33</v>
      </c>
      <c r="B346">
        <v>34.464494387460803</v>
      </c>
      <c r="C346">
        <v>75</v>
      </c>
      <c r="D346">
        <v>121</v>
      </c>
      <c r="E346">
        <v>1</v>
      </c>
      <c r="F346">
        <v>0</v>
      </c>
      <c r="G346">
        <v>0</v>
      </c>
      <c r="H346">
        <f>IF(OR(A346&lt;18, A346&gt;40, B346&gt;=30), 1, 0)</f>
        <v>1</v>
      </c>
      <c r="I346">
        <f t="shared" si="15"/>
        <v>1</v>
      </c>
      <c r="J346">
        <f t="shared" si="16"/>
        <v>1</v>
      </c>
      <c r="K346" t="str">
        <f t="shared" si="17"/>
        <v>0.99</v>
      </c>
    </row>
    <row r="347" spans="1:11" x14ac:dyDescent="0.3">
      <c r="A347">
        <v>34</v>
      </c>
      <c r="B347">
        <v>23.303520507104501</v>
      </c>
      <c r="C347">
        <v>77</v>
      </c>
      <c r="D347">
        <v>133</v>
      </c>
      <c r="E347">
        <v>0</v>
      </c>
      <c r="F347">
        <v>0</v>
      </c>
      <c r="G347">
        <v>1</v>
      </c>
      <c r="H347">
        <f>IF(OR(A347&lt;18, A347&gt;40, B347&gt;=30), 1, 0)</f>
        <v>0</v>
      </c>
      <c r="I347">
        <f t="shared" si="15"/>
        <v>1</v>
      </c>
      <c r="J347">
        <f t="shared" si="16"/>
        <v>1</v>
      </c>
      <c r="K347" t="str">
        <f t="shared" si="17"/>
        <v>0.66</v>
      </c>
    </row>
    <row r="348" spans="1:11" x14ac:dyDescent="0.3">
      <c r="A348">
        <v>33</v>
      </c>
      <c r="B348">
        <v>22.963586194926201</v>
      </c>
      <c r="C348">
        <v>77</v>
      </c>
      <c r="D348">
        <v>130</v>
      </c>
      <c r="E348">
        <v>1</v>
      </c>
      <c r="F348">
        <v>0</v>
      </c>
      <c r="G348">
        <v>0</v>
      </c>
      <c r="H348">
        <f>IF(OR(A348&lt;18, A348&gt;40, B348&gt;=30), 1, 0)</f>
        <v>0</v>
      </c>
      <c r="I348">
        <f t="shared" si="15"/>
        <v>1</v>
      </c>
      <c r="J348">
        <f t="shared" si="16"/>
        <v>1</v>
      </c>
      <c r="K348" t="str">
        <f t="shared" si="17"/>
        <v>0.66</v>
      </c>
    </row>
    <row r="349" spans="1:11" x14ac:dyDescent="0.3">
      <c r="A349">
        <v>31</v>
      </c>
      <c r="B349">
        <v>30.976292091981499</v>
      </c>
      <c r="C349">
        <v>73</v>
      </c>
      <c r="D349">
        <v>124</v>
      </c>
      <c r="E349">
        <v>0</v>
      </c>
      <c r="F349">
        <v>1</v>
      </c>
      <c r="G349">
        <v>0</v>
      </c>
      <c r="H349">
        <f>IF(OR(A349&lt;18, A349&gt;40, B349&gt;=30), 1, 0)</f>
        <v>1</v>
      </c>
      <c r="I349">
        <f t="shared" si="15"/>
        <v>1</v>
      </c>
      <c r="J349">
        <f t="shared" si="16"/>
        <v>1</v>
      </c>
      <c r="K349" t="str">
        <f t="shared" si="17"/>
        <v>0.99</v>
      </c>
    </row>
    <row r="350" spans="1:11" x14ac:dyDescent="0.3">
      <c r="A350">
        <v>26</v>
      </c>
      <c r="B350">
        <v>32.779764129552802</v>
      </c>
      <c r="C350">
        <v>81</v>
      </c>
      <c r="D350">
        <v>129</v>
      </c>
      <c r="E350">
        <v>1</v>
      </c>
      <c r="F350">
        <v>1</v>
      </c>
      <c r="G350">
        <v>1</v>
      </c>
      <c r="H350">
        <f>IF(OR(A350&lt;18, A350&gt;40, B350&gt;=30), 1, 0)</f>
        <v>1</v>
      </c>
      <c r="I350">
        <f t="shared" si="15"/>
        <v>1</v>
      </c>
      <c r="J350">
        <f t="shared" si="16"/>
        <v>1</v>
      </c>
      <c r="K350" t="str">
        <f t="shared" si="17"/>
        <v>0.99</v>
      </c>
    </row>
    <row r="351" spans="1:11" x14ac:dyDescent="0.3">
      <c r="A351">
        <v>32</v>
      </c>
      <c r="B351">
        <v>25.015166158854701</v>
      </c>
      <c r="C351">
        <v>75</v>
      </c>
      <c r="D351">
        <v>129</v>
      </c>
      <c r="E351">
        <v>1</v>
      </c>
      <c r="F351">
        <v>1</v>
      </c>
      <c r="G351">
        <v>0</v>
      </c>
      <c r="H351">
        <f>IF(OR(A351&lt;18, A351&gt;40, B351&gt;=30), 1, 0)</f>
        <v>0</v>
      </c>
      <c r="I351">
        <f t="shared" si="15"/>
        <v>1</v>
      </c>
      <c r="J351">
        <f t="shared" si="16"/>
        <v>1</v>
      </c>
      <c r="K351" t="str">
        <f t="shared" si="17"/>
        <v>0.66</v>
      </c>
    </row>
    <row r="352" spans="1:11" x14ac:dyDescent="0.3">
      <c r="A352">
        <v>20</v>
      </c>
      <c r="B352">
        <v>22.364454525410899</v>
      </c>
      <c r="C352">
        <v>89</v>
      </c>
      <c r="D352">
        <v>123</v>
      </c>
      <c r="E352">
        <v>1</v>
      </c>
      <c r="F352">
        <v>0</v>
      </c>
      <c r="G352">
        <v>1</v>
      </c>
      <c r="H352">
        <f>IF(OR(A352&lt;18, A352&gt;40, B352&gt;=30), 1, 0)</f>
        <v>0</v>
      </c>
      <c r="I352">
        <f t="shared" si="15"/>
        <v>1</v>
      </c>
      <c r="J352">
        <f t="shared" si="16"/>
        <v>1</v>
      </c>
      <c r="K352" t="str">
        <f t="shared" si="17"/>
        <v>0.66</v>
      </c>
    </row>
    <row r="353" spans="1:11" x14ac:dyDescent="0.3">
      <c r="A353">
        <v>34</v>
      </c>
      <c r="B353">
        <v>21.902528530625201</v>
      </c>
      <c r="C353">
        <v>83</v>
      </c>
      <c r="D353">
        <v>133</v>
      </c>
      <c r="E353">
        <v>0</v>
      </c>
      <c r="F353">
        <v>0</v>
      </c>
      <c r="G353">
        <v>0</v>
      </c>
      <c r="H353">
        <f>IF(OR(A353&lt;18, A353&gt;40, B353&gt;=30), 1, 0)</f>
        <v>0</v>
      </c>
      <c r="I353">
        <f t="shared" si="15"/>
        <v>0</v>
      </c>
      <c r="J353">
        <f t="shared" si="16"/>
        <v>1</v>
      </c>
      <c r="K353" t="str">
        <f t="shared" si="17"/>
        <v>0.33</v>
      </c>
    </row>
    <row r="354" spans="1:11" x14ac:dyDescent="0.3">
      <c r="A354">
        <v>31</v>
      </c>
      <c r="B354">
        <v>19.635584821637401</v>
      </c>
      <c r="C354">
        <v>88</v>
      </c>
      <c r="D354">
        <v>131</v>
      </c>
      <c r="E354">
        <v>1</v>
      </c>
      <c r="F354">
        <v>1</v>
      </c>
      <c r="G354">
        <v>0</v>
      </c>
      <c r="H354">
        <f>IF(OR(A354&lt;18, A354&gt;40, B354&gt;=30), 1, 0)</f>
        <v>0</v>
      </c>
      <c r="I354">
        <f t="shared" si="15"/>
        <v>1</v>
      </c>
      <c r="J354">
        <f t="shared" si="16"/>
        <v>1</v>
      </c>
      <c r="K354" t="str">
        <f t="shared" si="17"/>
        <v>0.66</v>
      </c>
    </row>
    <row r="355" spans="1:11" x14ac:dyDescent="0.3">
      <c r="A355">
        <v>34</v>
      </c>
      <c r="B355">
        <v>18.5648825444223</v>
      </c>
      <c r="C355">
        <v>78</v>
      </c>
      <c r="D355">
        <v>137</v>
      </c>
      <c r="E355">
        <v>1</v>
      </c>
      <c r="F355">
        <v>1</v>
      </c>
      <c r="G355">
        <v>1</v>
      </c>
      <c r="H355">
        <f>IF(OR(A355&lt;18, A355&gt;40, B355&gt;=30), 1, 0)</f>
        <v>0</v>
      </c>
      <c r="I355">
        <f t="shared" si="15"/>
        <v>1</v>
      </c>
      <c r="J355">
        <f t="shared" si="16"/>
        <v>1</v>
      </c>
      <c r="K355" t="str">
        <f t="shared" si="17"/>
        <v>0.66</v>
      </c>
    </row>
    <row r="356" spans="1:11" x14ac:dyDescent="0.3">
      <c r="A356">
        <v>18</v>
      </c>
      <c r="B356">
        <v>19.046522186717699</v>
      </c>
      <c r="C356">
        <v>71</v>
      </c>
      <c r="D356">
        <v>127</v>
      </c>
      <c r="E356">
        <v>0</v>
      </c>
      <c r="F356">
        <v>0</v>
      </c>
      <c r="G356">
        <v>0</v>
      </c>
      <c r="H356">
        <f>IF(OR(A356&lt;18, A356&gt;40, B356&gt;=30), 1, 0)</f>
        <v>0</v>
      </c>
      <c r="I356">
        <f t="shared" si="15"/>
        <v>0</v>
      </c>
      <c r="J356">
        <f t="shared" si="16"/>
        <v>1</v>
      </c>
      <c r="K356" t="str">
        <f t="shared" si="17"/>
        <v>0.33</v>
      </c>
    </row>
    <row r="357" spans="1:11" x14ac:dyDescent="0.3">
      <c r="A357">
        <v>28</v>
      </c>
      <c r="B357">
        <v>20.182478106225101</v>
      </c>
      <c r="C357">
        <v>85</v>
      </c>
      <c r="D357">
        <v>125</v>
      </c>
      <c r="E357">
        <v>1</v>
      </c>
      <c r="F357">
        <v>1</v>
      </c>
      <c r="G357">
        <v>1</v>
      </c>
      <c r="H357">
        <f>IF(OR(A357&lt;18, A357&gt;40, B357&gt;=30), 1, 0)</f>
        <v>0</v>
      </c>
      <c r="I357">
        <f t="shared" si="15"/>
        <v>1</v>
      </c>
      <c r="J357">
        <f t="shared" si="16"/>
        <v>1</v>
      </c>
      <c r="K357" t="str">
        <f t="shared" si="17"/>
        <v>0.66</v>
      </c>
    </row>
    <row r="358" spans="1:11" x14ac:dyDescent="0.3">
      <c r="A358">
        <v>25</v>
      </c>
      <c r="B358">
        <v>23.9935663258392</v>
      </c>
      <c r="C358">
        <v>87</v>
      </c>
      <c r="D358">
        <v>122</v>
      </c>
      <c r="E358">
        <v>0</v>
      </c>
      <c r="F358">
        <v>0</v>
      </c>
      <c r="G358">
        <v>1</v>
      </c>
      <c r="H358">
        <f>IF(OR(A358&lt;18, A358&gt;40, B358&gt;=30), 1, 0)</f>
        <v>0</v>
      </c>
      <c r="I358">
        <f t="shared" si="15"/>
        <v>1</v>
      </c>
      <c r="J358">
        <f t="shared" si="16"/>
        <v>1</v>
      </c>
      <c r="K358" t="str">
        <f t="shared" si="17"/>
        <v>0.66</v>
      </c>
    </row>
    <row r="359" spans="1:11" x14ac:dyDescent="0.3">
      <c r="A359">
        <v>21</v>
      </c>
      <c r="B359">
        <v>26.9194635809862</v>
      </c>
      <c r="C359">
        <v>74</v>
      </c>
      <c r="D359">
        <v>138</v>
      </c>
      <c r="E359">
        <v>1</v>
      </c>
      <c r="F359">
        <v>1</v>
      </c>
      <c r="G359">
        <v>0</v>
      </c>
      <c r="H359">
        <f>IF(OR(A359&lt;18, A359&gt;40, B359&gt;=30), 1, 0)</f>
        <v>0</v>
      </c>
      <c r="I359">
        <f t="shared" si="15"/>
        <v>1</v>
      </c>
      <c r="J359">
        <f t="shared" si="16"/>
        <v>1</v>
      </c>
      <c r="K359" t="str">
        <f t="shared" si="17"/>
        <v>0.66</v>
      </c>
    </row>
    <row r="360" spans="1:11" x14ac:dyDescent="0.3">
      <c r="A360">
        <v>27</v>
      </c>
      <c r="B360">
        <v>32.8634846087946</v>
      </c>
      <c r="C360">
        <v>86</v>
      </c>
      <c r="D360">
        <v>126</v>
      </c>
      <c r="E360">
        <v>1</v>
      </c>
      <c r="F360">
        <v>0</v>
      </c>
      <c r="G360">
        <v>0</v>
      </c>
      <c r="H360">
        <f>IF(OR(A360&lt;18, A360&gt;40, B360&gt;=30), 1, 0)</f>
        <v>1</v>
      </c>
      <c r="I360">
        <f t="shared" si="15"/>
        <v>1</v>
      </c>
      <c r="J360">
        <f t="shared" si="16"/>
        <v>1</v>
      </c>
      <c r="K360" t="str">
        <f t="shared" si="17"/>
        <v>0.99</v>
      </c>
    </row>
    <row r="361" spans="1:11" x14ac:dyDescent="0.3">
      <c r="A361">
        <v>25</v>
      </c>
      <c r="B361">
        <v>20.643947104990499</v>
      </c>
      <c r="C361">
        <v>70</v>
      </c>
      <c r="D361">
        <v>134</v>
      </c>
      <c r="E361">
        <v>1</v>
      </c>
      <c r="F361">
        <v>0</v>
      </c>
      <c r="G361">
        <v>1</v>
      </c>
      <c r="H361">
        <f>IF(OR(A361&lt;18, A361&gt;40, B361&gt;=30), 1, 0)</f>
        <v>0</v>
      </c>
      <c r="I361">
        <f t="shared" si="15"/>
        <v>1</v>
      </c>
      <c r="J361">
        <f t="shared" si="16"/>
        <v>1</v>
      </c>
      <c r="K361" t="str">
        <f t="shared" si="17"/>
        <v>0.66</v>
      </c>
    </row>
    <row r="362" spans="1:11" x14ac:dyDescent="0.3">
      <c r="A362">
        <v>19</v>
      </c>
      <c r="B362">
        <v>25.486386947971098</v>
      </c>
      <c r="C362">
        <v>82</v>
      </c>
      <c r="D362">
        <v>133</v>
      </c>
      <c r="E362">
        <v>1</v>
      </c>
      <c r="F362">
        <v>1</v>
      </c>
      <c r="G362">
        <v>0</v>
      </c>
      <c r="H362">
        <f>IF(OR(A362&lt;18, A362&gt;40, B362&gt;=30), 1, 0)</f>
        <v>0</v>
      </c>
      <c r="I362">
        <f t="shared" si="15"/>
        <v>1</v>
      </c>
      <c r="J362">
        <f t="shared" si="16"/>
        <v>1</v>
      </c>
      <c r="K362" t="str">
        <f t="shared" si="17"/>
        <v>0.66</v>
      </c>
    </row>
    <row r="363" spans="1:11" x14ac:dyDescent="0.3">
      <c r="A363">
        <v>23</v>
      </c>
      <c r="B363">
        <v>19.906071498431899</v>
      </c>
      <c r="C363">
        <v>79</v>
      </c>
      <c r="D363">
        <v>139</v>
      </c>
      <c r="E363">
        <v>0</v>
      </c>
      <c r="F363">
        <v>0</v>
      </c>
      <c r="G363">
        <v>1</v>
      </c>
      <c r="H363">
        <f>IF(OR(A363&lt;18, A363&gt;40, B363&gt;=30), 1, 0)</f>
        <v>0</v>
      </c>
      <c r="I363">
        <f t="shared" si="15"/>
        <v>1</v>
      </c>
      <c r="J363">
        <f t="shared" si="16"/>
        <v>1</v>
      </c>
      <c r="K363" t="str">
        <f t="shared" si="17"/>
        <v>0.66</v>
      </c>
    </row>
    <row r="364" spans="1:11" x14ac:dyDescent="0.3">
      <c r="A364">
        <v>19</v>
      </c>
      <c r="B364">
        <v>33.510305906506701</v>
      </c>
      <c r="C364">
        <v>86</v>
      </c>
      <c r="D364">
        <v>126</v>
      </c>
      <c r="E364">
        <v>0</v>
      </c>
      <c r="F364">
        <v>0</v>
      </c>
      <c r="G364">
        <v>0</v>
      </c>
      <c r="H364">
        <f>IF(OR(A364&lt;18, A364&gt;40, B364&gt;=30), 1, 0)</f>
        <v>1</v>
      </c>
      <c r="I364">
        <f t="shared" si="15"/>
        <v>0</v>
      </c>
      <c r="J364">
        <f t="shared" si="16"/>
        <v>1</v>
      </c>
      <c r="K364" t="str">
        <f t="shared" si="17"/>
        <v>0.66</v>
      </c>
    </row>
    <row r="365" spans="1:11" x14ac:dyDescent="0.3">
      <c r="A365">
        <v>32</v>
      </c>
      <c r="B365">
        <v>33.717465598418201</v>
      </c>
      <c r="C365">
        <v>72</v>
      </c>
      <c r="D365">
        <v>120</v>
      </c>
      <c r="E365">
        <v>1</v>
      </c>
      <c r="F365">
        <v>0</v>
      </c>
      <c r="G365">
        <v>1</v>
      </c>
      <c r="H365">
        <f>IF(OR(A365&lt;18, A365&gt;40, B365&gt;=30), 1, 0)</f>
        <v>1</v>
      </c>
      <c r="I365">
        <f t="shared" si="15"/>
        <v>1</v>
      </c>
      <c r="J365">
        <f t="shared" si="16"/>
        <v>1</v>
      </c>
      <c r="K365" t="str">
        <f t="shared" si="17"/>
        <v>0.99</v>
      </c>
    </row>
    <row r="366" spans="1:11" x14ac:dyDescent="0.3">
      <c r="A366">
        <v>31</v>
      </c>
      <c r="B366">
        <v>34.322680976773903</v>
      </c>
      <c r="C366">
        <v>82</v>
      </c>
      <c r="D366">
        <v>123</v>
      </c>
      <c r="E366">
        <v>0</v>
      </c>
      <c r="F366">
        <v>0</v>
      </c>
      <c r="G366">
        <v>1</v>
      </c>
      <c r="H366">
        <f>IF(OR(A366&lt;18, A366&gt;40, B366&gt;=30), 1, 0)</f>
        <v>1</v>
      </c>
      <c r="I366">
        <f t="shared" si="15"/>
        <v>1</v>
      </c>
      <c r="J366">
        <f t="shared" si="16"/>
        <v>1</v>
      </c>
      <c r="K366" t="str">
        <f t="shared" si="17"/>
        <v>0.99</v>
      </c>
    </row>
    <row r="367" spans="1:11" x14ac:dyDescent="0.3">
      <c r="A367">
        <v>33</v>
      </c>
      <c r="B367">
        <v>18.1742242574329</v>
      </c>
      <c r="C367">
        <v>82</v>
      </c>
      <c r="D367">
        <v>120</v>
      </c>
      <c r="E367">
        <v>1</v>
      </c>
      <c r="F367">
        <v>1</v>
      </c>
      <c r="G367">
        <v>1</v>
      </c>
      <c r="H367">
        <f>IF(OR(A367&lt;18, A367&gt;40, B367&gt;=30), 1, 0)</f>
        <v>0</v>
      </c>
      <c r="I367">
        <f t="shared" si="15"/>
        <v>1</v>
      </c>
      <c r="J367">
        <f t="shared" si="16"/>
        <v>1</v>
      </c>
      <c r="K367" t="str">
        <f t="shared" si="17"/>
        <v>0.66</v>
      </c>
    </row>
    <row r="368" spans="1:11" x14ac:dyDescent="0.3">
      <c r="A368">
        <v>32</v>
      </c>
      <c r="B368">
        <v>26.261924051064799</v>
      </c>
      <c r="C368">
        <v>72</v>
      </c>
      <c r="D368">
        <v>121</v>
      </c>
      <c r="E368">
        <v>0</v>
      </c>
      <c r="F368">
        <v>0</v>
      </c>
      <c r="G368">
        <v>0</v>
      </c>
      <c r="H368">
        <f>IF(OR(A368&lt;18, A368&gt;40, B368&gt;=30), 1, 0)</f>
        <v>0</v>
      </c>
      <c r="I368">
        <f t="shared" si="15"/>
        <v>0</v>
      </c>
      <c r="J368">
        <f t="shared" si="16"/>
        <v>1</v>
      </c>
      <c r="K368" t="str">
        <f t="shared" si="17"/>
        <v>0.33</v>
      </c>
    </row>
    <row r="369" spans="1:11" x14ac:dyDescent="0.3">
      <c r="A369">
        <v>23</v>
      </c>
      <c r="B369">
        <v>30.4177905703025</v>
      </c>
      <c r="C369">
        <v>71</v>
      </c>
      <c r="D369">
        <v>132</v>
      </c>
      <c r="E369">
        <v>1</v>
      </c>
      <c r="F369">
        <v>0</v>
      </c>
      <c r="G369">
        <v>0</v>
      </c>
      <c r="H369">
        <f>IF(OR(A369&lt;18, A369&gt;40, B369&gt;=30), 1, 0)</f>
        <v>1</v>
      </c>
      <c r="I369">
        <f t="shared" si="15"/>
        <v>1</v>
      </c>
      <c r="J369">
        <f t="shared" si="16"/>
        <v>1</v>
      </c>
      <c r="K369" t="str">
        <f t="shared" si="17"/>
        <v>0.99</v>
      </c>
    </row>
    <row r="370" spans="1:11" x14ac:dyDescent="0.3">
      <c r="A370">
        <v>19</v>
      </c>
      <c r="B370">
        <v>18.035082955510401</v>
      </c>
      <c r="C370">
        <v>70</v>
      </c>
      <c r="D370">
        <v>136</v>
      </c>
      <c r="E370">
        <v>0</v>
      </c>
      <c r="F370">
        <v>0</v>
      </c>
      <c r="G370">
        <v>1</v>
      </c>
      <c r="H370">
        <f>IF(OR(A370&lt;18, A370&gt;40, B370&gt;=30), 1, 0)</f>
        <v>0</v>
      </c>
      <c r="I370">
        <f t="shared" si="15"/>
        <v>1</v>
      </c>
      <c r="J370">
        <f t="shared" si="16"/>
        <v>1</v>
      </c>
      <c r="K370" t="str">
        <f t="shared" si="17"/>
        <v>0.66</v>
      </c>
    </row>
    <row r="371" spans="1:11" x14ac:dyDescent="0.3">
      <c r="A371">
        <v>29</v>
      </c>
      <c r="B371">
        <v>23.9198386907218</v>
      </c>
      <c r="C371">
        <v>85</v>
      </c>
      <c r="D371">
        <v>129</v>
      </c>
      <c r="E371">
        <v>1</v>
      </c>
      <c r="F371">
        <v>0</v>
      </c>
      <c r="G371">
        <v>1</v>
      </c>
      <c r="H371">
        <f>IF(OR(A371&lt;18, A371&gt;40, B371&gt;=30), 1, 0)</f>
        <v>0</v>
      </c>
      <c r="I371">
        <f t="shared" si="15"/>
        <v>1</v>
      </c>
      <c r="J371">
        <f t="shared" si="16"/>
        <v>1</v>
      </c>
      <c r="K371" t="str">
        <f t="shared" si="17"/>
        <v>0.66</v>
      </c>
    </row>
    <row r="372" spans="1:11" x14ac:dyDescent="0.3">
      <c r="A372">
        <v>30</v>
      </c>
      <c r="B372">
        <v>24.522709664890801</v>
      </c>
      <c r="C372">
        <v>83</v>
      </c>
      <c r="D372">
        <v>128</v>
      </c>
      <c r="E372">
        <v>1</v>
      </c>
      <c r="F372">
        <v>0</v>
      </c>
      <c r="G372">
        <v>0</v>
      </c>
      <c r="H372">
        <f>IF(OR(A372&lt;18, A372&gt;40, B372&gt;=30), 1, 0)</f>
        <v>0</v>
      </c>
      <c r="I372">
        <f t="shared" si="15"/>
        <v>1</v>
      </c>
      <c r="J372">
        <f t="shared" si="16"/>
        <v>1</v>
      </c>
      <c r="K372" t="str">
        <f t="shared" si="17"/>
        <v>0.66</v>
      </c>
    </row>
    <row r="373" spans="1:11" x14ac:dyDescent="0.3">
      <c r="A373">
        <v>25</v>
      </c>
      <c r="B373">
        <v>33.869873158530503</v>
      </c>
      <c r="C373">
        <v>88</v>
      </c>
      <c r="D373">
        <v>126</v>
      </c>
      <c r="E373">
        <v>0</v>
      </c>
      <c r="F373">
        <v>1</v>
      </c>
      <c r="G373">
        <v>1</v>
      </c>
      <c r="H373">
        <f>IF(OR(A373&lt;18, A373&gt;40, B373&gt;=30), 1, 0)</f>
        <v>1</v>
      </c>
      <c r="I373">
        <f t="shared" si="15"/>
        <v>1</v>
      </c>
      <c r="J373">
        <f t="shared" si="16"/>
        <v>1</v>
      </c>
      <c r="K373" t="str">
        <f t="shared" si="17"/>
        <v>0.99</v>
      </c>
    </row>
    <row r="374" spans="1:11" x14ac:dyDescent="0.3">
      <c r="A374">
        <v>34</v>
      </c>
      <c r="B374">
        <v>27.314077717174001</v>
      </c>
      <c r="C374">
        <v>83</v>
      </c>
      <c r="D374">
        <v>126</v>
      </c>
      <c r="E374">
        <v>1</v>
      </c>
      <c r="F374">
        <v>0</v>
      </c>
      <c r="G374">
        <v>0</v>
      </c>
      <c r="H374">
        <f>IF(OR(A374&lt;18, A374&gt;40, B374&gt;=30), 1, 0)</f>
        <v>0</v>
      </c>
      <c r="I374">
        <f t="shared" si="15"/>
        <v>1</v>
      </c>
      <c r="J374">
        <f t="shared" si="16"/>
        <v>1</v>
      </c>
      <c r="K374" t="str">
        <f t="shared" si="17"/>
        <v>0.66</v>
      </c>
    </row>
    <row r="375" spans="1:11" x14ac:dyDescent="0.3">
      <c r="A375">
        <v>26</v>
      </c>
      <c r="B375">
        <v>28.181675122564702</v>
      </c>
      <c r="C375">
        <v>83</v>
      </c>
      <c r="D375">
        <v>126</v>
      </c>
      <c r="E375">
        <v>0</v>
      </c>
      <c r="F375">
        <v>1</v>
      </c>
      <c r="G375">
        <v>0</v>
      </c>
      <c r="H375">
        <f>IF(OR(A375&lt;18, A375&gt;40, B375&gt;=30), 1, 0)</f>
        <v>0</v>
      </c>
      <c r="I375">
        <f t="shared" si="15"/>
        <v>1</v>
      </c>
      <c r="J375">
        <f t="shared" si="16"/>
        <v>1</v>
      </c>
      <c r="K375" t="str">
        <f t="shared" si="17"/>
        <v>0.66</v>
      </c>
    </row>
    <row r="376" spans="1:11" x14ac:dyDescent="0.3">
      <c r="A376">
        <v>27</v>
      </c>
      <c r="B376">
        <v>21.463613156316999</v>
      </c>
      <c r="C376">
        <v>82</v>
      </c>
      <c r="D376">
        <v>123</v>
      </c>
      <c r="E376">
        <v>1</v>
      </c>
      <c r="F376">
        <v>1</v>
      </c>
      <c r="G376">
        <v>1</v>
      </c>
      <c r="H376">
        <f>IF(OR(A376&lt;18, A376&gt;40, B376&gt;=30), 1, 0)</f>
        <v>0</v>
      </c>
      <c r="I376">
        <f t="shared" si="15"/>
        <v>1</v>
      </c>
      <c r="J376">
        <f t="shared" si="16"/>
        <v>1</v>
      </c>
      <c r="K376" t="str">
        <f t="shared" si="17"/>
        <v>0.66</v>
      </c>
    </row>
    <row r="377" spans="1:11" x14ac:dyDescent="0.3">
      <c r="A377">
        <v>23</v>
      </c>
      <c r="B377">
        <v>29.161303662606699</v>
      </c>
      <c r="C377">
        <v>86</v>
      </c>
      <c r="D377">
        <v>133</v>
      </c>
      <c r="E377">
        <v>1</v>
      </c>
      <c r="F377">
        <v>1</v>
      </c>
      <c r="G377">
        <v>1</v>
      </c>
      <c r="H377">
        <f>IF(OR(A377&lt;18, A377&gt;40, B377&gt;=30), 1, 0)</f>
        <v>0</v>
      </c>
      <c r="I377">
        <f t="shared" si="15"/>
        <v>1</v>
      </c>
      <c r="J377">
        <f t="shared" si="16"/>
        <v>1</v>
      </c>
      <c r="K377" t="str">
        <f t="shared" si="17"/>
        <v>0.66</v>
      </c>
    </row>
    <row r="378" spans="1:11" x14ac:dyDescent="0.3">
      <c r="A378">
        <v>24</v>
      </c>
      <c r="B378">
        <v>29.704347012127698</v>
      </c>
      <c r="C378">
        <v>75</v>
      </c>
      <c r="D378">
        <v>125</v>
      </c>
      <c r="E378">
        <v>1</v>
      </c>
      <c r="F378">
        <v>0</v>
      </c>
      <c r="G378">
        <v>1</v>
      </c>
      <c r="H378">
        <f>IF(OR(A378&lt;18, A378&gt;40, B378&gt;=30), 1, 0)</f>
        <v>0</v>
      </c>
      <c r="I378">
        <f t="shared" si="15"/>
        <v>1</v>
      </c>
      <c r="J378">
        <f t="shared" si="16"/>
        <v>1</v>
      </c>
      <c r="K378" t="str">
        <f t="shared" si="17"/>
        <v>0.66</v>
      </c>
    </row>
    <row r="379" spans="1:11" x14ac:dyDescent="0.3">
      <c r="A379">
        <v>28</v>
      </c>
      <c r="B379">
        <v>26.393249457125101</v>
      </c>
      <c r="C379">
        <v>74</v>
      </c>
      <c r="D379">
        <v>137</v>
      </c>
      <c r="E379">
        <v>1</v>
      </c>
      <c r="F379">
        <v>1</v>
      </c>
      <c r="G379">
        <v>0</v>
      </c>
      <c r="H379">
        <f>IF(OR(A379&lt;18, A379&gt;40, B379&gt;=30), 1, 0)</f>
        <v>0</v>
      </c>
      <c r="I379">
        <f t="shared" si="15"/>
        <v>1</v>
      </c>
      <c r="J379">
        <f t="shared" si="16"/>
        <v>1</v>
      </c>
      <c r="K379" t="str">
        <f t="shared" si="17"/>
        <v>0.66</v>
      </c>
    </row>
    <row r="380" spans="1:11" x14ac:dyDescent="0.3">
      <c r="A380">
        <v>30</v>
      </c>
      <c r="B380">
        <v>24.7406770050533</v>
      </c>
      <c r="C380">
        <v>73</v>
      </c>
      <c r="D380">
        <v>139</v>
      </c>
      <c r="E380">
        <v>1</v>
      </c>
      <c r="F380">
        <v>0</v>
      </c>
      <c r="G380">
        <v>0</v>
      </c>
      <c r="H380">
        <f>IF(OR(A380&lt;18, A380&gt;40, B380&gt;=30), 1, 0)</f>
        <v>0</v>
      </c>
      <c r="I380">
        <f t="shared" si="15"/>
        <v>1</v>
      </c>
      <c r="J380">
        <f t="shared" si="16"/>
        <v>1</v>
      </c>
      <c r="K380" t="str">
        <f t="shared" si="17"/>
        <v>0.66</v>
      </c>
    </row>
    <row r="381" spans="1:11" x14ac:dyDescent="0.3">
      <c r="A381">
        <v>19</v>
      </c>
      <c r="B381">
        <v>19.1515832146113</v>
      </c>
      <c r="C381">
        <v>80</v>
      </c>
      <c r="D381">
        <v>135</v>
      </c>
      <c r="E381">
        <v>1</v>
      </c>
      <c r="F381">
        <v>1</v>
      </c>
      <c r="G381">
        <v>0</v>
      </c>
      <c r="H381">
        <f>IF(OR(A381&lt;18, A381&gt;40, B381&gt;=30), 1, 0)</f>
        <v>0</v>
      </c>
      <c r="I381">
        <f t="shared" si="15"/>
        <v>1</v>
      </c>
      <c r="J381">
        <f t="shared" si="16"/>
        <v>1</v>
      </c>
      <c r="K381" t="str">
        <f t="shared" si="17"/>
        <v>0.66</v>
      </c>
    </row>
    <row r="382" spans="1:11" x14ac:dyDescent="0.3">
      <c r="A382">
        <v>24</v>
      </c>
      <c r="B382">
        <v>20.306612176127601</v>
      </c>
      <c r="C382">
        <v>80</v>
      </c>
      <c r="D382">
        <v>127</v>
      </c>
      <c r="E382">
        <v>1</v>
      </c>
      <c r="F382">
        <v>0</v>
      </c>
      <c r="G382">
        <v>0</v>
      </c>
      <c r="H382">
        <f>IF(OR(A382&lt;18, A382&gt;40, B382&gt;=30), 1, 0)</f>
        <v>0</v>
      </c>
      <c r="I382">
        <f t="shared" si="15"/>
        <v>1</v>
      </c>
      <c r="J382">
        <f t="shared" si="16"/>
        <v>1</v>
      </c>
      <c r="K382" t="str">
        <f t="shared" si="17"/>
        <v>0.66</v>
      </c>
    </row>
    <row r="383" spans="1:11" x14ac:dyDescent="0.3">
      <c r="A383">
        <v>27</v>
      </c>
      <c r="B383">
        <v>24.051185749762698</v>
      </c>
      <c r="C383">
        <v>87</v>
      </c>
      <c r="D383">
        <v>131</v>
      </c>
      <c r="E383">
        <v>1</v>
      </c>
      <c r="F383">
        <v>0</v>
      </c>
      <c r="G383">
        <v>0</v>
      </c>
      <c r="H383">
        <f>IF(OR(A383&lt;18, A383&gt;40, B383&gt;=30), 1, 0)</f>
        <v>0</v>
      </c>
      <c r="I383">
        <f t="shared" si="15"/>
        <v>1</v>
      </c>
      <c r="J383">
        <f t="shared" si="16"/>
        <v>1</v>
      </c>
      <c r="K383" t="str">
        <f t="shared" si="17"/>
        <v>0.66</v>
      </c>
    </row>
    <row r="384" spans="1:11" x14ac:dyDescent="0.3">
      <c r="A384">
        <v>19</v>
      </c>
      <c r="B384">
        <v>27.057705194296101</v>
      </c>
      <c r="C384">
        <v>89</v>
      </c>
      <c r="D384">
        <v>127</v>
      </c>
      <c r="E384">
        <v>1</v>
      </c>
      <c r="F384">
        <v>1</v>
      </c>
      <c r="G384">
        <v>1</v>
      </c>
      <c r="H384">
        <f>IF(OR(A384&lt;18, A384&gt;40, B384&gt;=30), 1, 0)</f>
        <v>0</v>
      </c>
      <c r="I384">
        <f t="shared" si="15"/>
        <v>1</v>
      </c>
      <c r="J384">
        <f t="shared" si="16"/>
        <v>1</v>
      </c>
      <c r="K384" t="str">
        <f t="shared" si="17"/>
        <v>0.66</v>
      </c>
    </row>
    <row r="385" spans="1:11" x14ac:dyDescent="0.3">
      <c r="A385">
        <v>31</v>
      </c>
      <c r="B385">
        <v>32.451976292816397</v>
      </c>
      <c r="C385">
        <v>75</v>
      </c>
      <c r="D385">
        <v>136</v>
      </c>
      <c r="E385">
        <v>0</v>
      </c>
      <c r="F385">
        <v>1</v>
      </c>
      <c r="G385">
        <v>0</v>
      </c>
      <c r="H385">
        <f>IF(OR(A385&lt;18, A385&gt;40, B385&gt;=30), 1, 0)</f>
        <v>1</v>
      </c>
      <c r="I385">
        <f t="shared" si="15"/>
        <v>1</v>
      </c>
      <c r="J385">
        <f t="shared" si="16"/>
        <v>1</v>
      </c>
      <c r="K385" t="str">
        <f t="shared" si="17"/>
        <v>0.99</v>
      </c>
    </row>
    <row r="386" spans="1:11" x14ac:dyDescent="0.3">
      <c r="A386">
        <v>19</v>
      </c>
      <c r="B386">
        <v>31.623889424913401</v>
      </c>
      <c r="C386">
        <v>83</v>
      </c>
      <c r="D386">
        <v>124</v>
      </c>
      <c r="E386">
        <v>0</v>
      </c>
      <c r="F386">
        <v>0</v>
      </c>
      <c r="G386">
        <v>0</v>
      </c>
      <c r="H386">
        <f>IF(OR(A386&lt;18, A386&gt;40, B386&gt;=30), 1, 0)</f>
        <v>1</v>
      </c>
      <c r="I386">
        <f t="shared" si="15"/>
        <v>0</v>
      </c>
      <c r="J386">
        <f t="shared" si="16"/>
        <v>1</v>
      </c>
      <c r="K386" t="str">
        <f t="shared" si="17"/>
        <v>0.66</v>
      </c>
    </row>
    <row r="387" spans="1:11" x14ac:dyDescent="0.3">
      <c r="A387">
        <v>19</v>
      </c>
      <c r="B387">
        <v>19.828927471309601</v>
      </c>
      <c r="C387">
        <v>89</v>
      </c>
      <c r="D387">
        <v>127</v>
      </c>
      <c r="E387">
        <v>1</v>
      </c>
      <c r="F387">
        <v>1</v>
      </c>
      <c r="G387">
        <v>0</v>
      </c>
      <c r="H387">
        <f>IF(OR(A387&lt;18, A387&gt;40, B387&gt;=30), 1, 0)</f>
        <v>0</v>
      </c>
      <c r="I387">
        <f t="shared" ref="I387:I401" si="18">IF(OR(E387=1, F387=1, G387=1), 1, 0)</f>
        <v>1</v>
      </c>
      <c r="J387">
        <f t="shared" ref="J387:J401" si="19">IF(OR(C387&gt;=140, D387&gt;=90), 1, 0)</f>
        <v>1</v>
      </c>
      <c r="K387" t="str">
        <f t="shared" ref="K387:K401" si="20">IF((H387+I387+J387)=3, "0.99", IF((H387+I387+J387)=2, "0.66", IF((H387+I387+J387)=1, "0.33", "0.0")))</f>
        <v>0.66</v>
      </c>
    </row>
    <row r="388" spans="1:11" x14ac:dyDescent="0.3">
      <c r="A388">
        <v>25</v>
      </c>
      <c r="B388">
        <v>24.020839199490801</v>
      </c>
      <c r="C388">
        <v>71</v>
      </c>
      <c r="D388">
        <v>128</v>
      </c>
      <c r="E388">
        <v>1</v>
      </c>
      <c r="F388">
        <v>1</v>
      </c>
      <c r="G388">
        <v>1</v>
      </c>
      <c r="H388">
        <f>IF(OR(A388&lt;18, A388&gt;40, B388&gt;=30), 1, 0)</f>
        <v>0</v>
      </c>
      <c r="I388">
        <f t="shared" si="18"/>
        <v>1</v>
      </c>
      <c r="J388">
        <f t="shared" si="19"/>
        <v>1</v>
      </c>
      <c r="K388" t="str">
        <f t="shared" si="20"/>
        <v>0.66</v>
      </c>
    </row>
    <row r="389" spans="1:11" x14ac:dyDescent="0.3">
      <c r="A389">
        <v>25</v>
      </c>
      <c r="B389">
        <v>28.699898556755102</v>
      </c>
      <c r="C389">
        <v>71</v>
      </c>
      <c r="D389">
        <v>122</v>
      </c>
      <c r="E389">
        <v>1</v>
      </c>
      <c r="F389">
        <v>0</v>
      </c>
      <c r="G389">
        <v>1</v>
      </c>
      <c r="H389">
        <f>IF(OR(A389&lt;18, A389&gt;40, B389&gt;=30), 1, 0)</f>
        <v>0</v>
      </c>
      <c r="I389">
        <f t="shared" si="18"/>
        <v>1</v>
      </c>
      <c r="J389">
        <f t="shared" si="19"/>
        <v>1</v>
      </c>
      <c r="K389" t="str">
        <f t="shared" si="20"/>
        <v>0.66</v>
      </c>
    </row>
    <row r="390" spans="1:11" x14ac:dyDescent="0.3">
      <c r="A390">
        <v>33</v>
      </c>
      <c r="B390">
        <v>26.502540489108998</v>
      </c>
      <c r="C390">
        <v>88</v>
      </c>
      <c r="D390">
        <v>124</v>
      </c>
      <c r="E390">
        <v>0</v>
      </c>
      <c r="F390">
        <v>0</v>
      </c>
      <c r="G390">
        <v>1</v>
      </c>
      <c r="H390">
        <f>IF(OR(A390&lt;18, A390&gt;40, B390&gt;=30), 1, 0)</f>
        <v>0</v>
      </c>
      <c r="I390">
        <f t="shared" si="18"/>
        <v>1</v>
      </c>
      <c r="J390">
        <f t="shared" si="19"/>
        <v>1</v>
      </c>
      <c r="K390" t="str">
        <f t="shared" si="20"/>
        <v>0.66</v>
      </c>
    </row>
    <row r="391" spans="1:11" x14ac:dyDescent="0.3">
      <c r="A391">
        <v>24</v>
      </c>
      <c r="B391">
        <v>21.160502535551998</v>
      </c>
      <c r="C391">
        <v>88</v>
      </c>
      <c r="D391">
        <v>128</v>
      </c>
      <c r="E391">
        <v>0</v>
      </c>
      <c r="F391">
        <v>0</v>
      </c>
      <c r="G391">
        <v>0</v>
      </c>
      <c r="H391">
        <f>IF(OR(A391&lt;18, A391&gt;40, B391&gt;=30), 1, 0)</f>
        <v>0</v>
      </c>
      <c r="I391">
        <f t="shared" si="18"/>
        <v>0</v>
      </c>
      <c r="J391">
        <f t="shared" si="19"/>
        <v>1</v>
      </c>
      <c r="K391" t="str">
        <f t="shared" si="20"/>
        <v>0.33</v>
      </c>
    </row>
    <row r="392" spans="1:11" x14ac:dyDescent="0.3">
      <c r="A392">
        <v>23</v>
      </c>
      <c r="B392">
        <v>32.432822463896798</v>
      </c>
      <c r="C392">
        <v>71</v>
      </c>
      <c r="D392">
        <v>133</v>
      </c>
      <c r="E392">
        <v>1</v>
      </c>
      <c r="F392">
        <v>0</v>
      </c>
      <c r="G392">
        <v>1</v>
      </c>
      <c r="H392">
        <f>IF(OR(A392&lt;18, A392&gt;40, B392&gt;=30), 1, 0)</f>
        <v>1</v>
      </c>
      <c r="I392">
        <f t="shared" si="18"/>
        <v>1</v>
      </c>
      <c r="J392">
        <f t="shared" si="19"/>
        <v>1</v>
      </c>
      <c r="K392" t="str">
        <f t="shared" si="20"/>
        <v>0.99</v>
      </c>
    </row>
    <row r="393" spans="1:11" x14ac:dyDescent="0.3">
      <c r="A393">
        <v>22</v>
      </c>
      <c r="B393">
        <v>20.749735290698201</v>
      </c>
      <c r="C393">
        <v>80</v>
      </c>
      <c r="D393">
        <v>133</v>
      </c>
      <c r="E393">
        <v>0</v>
      </c>
      <c r="F393">
        <v>1</v>
      </c>
      <c r="G393">
        <v>1</v>
      </c>
      <c r="H393">
        <f>IF(OR(A393&lt;18, A393&gt;40, B393&gt;=30), 1, 0)</f>
        <v>0</v>
      </c>
      <c r="I393">
        <f t="shared" si="18"/>
        <v>1</v>
      </c>
      <c r="J393">
        <f t="shared" si="19"/>
        <v>1</v>
      </c>
      <c r="K393" t="str">
        <f t="shared" si="20"/>
        <v>0.66</v>
      </c>
    </row>
    <row r="394" spans="1:11" x14ac:dyDescent="0.3">
      <c r="A394">
        <v>20</v>
      </c>
      <c r="B394">
        <v>30.578523750583301</v>
      </c>
      <c r="C394">
        <v>80</v>
      </c>
      <c r="D394">
        <v>129</v>
      </c>
      <c r="E394">
        <v>0</v>
      </c>
      <c r="F394">
        <v>1</v>
      </c>
      <c r="G394">
        <v>1</v>
      </c>
      <c r="H394">
        <f>IF(OR(A394&lt;18, A394&gt;40, B394&gt;=30), 1, 0)</f>
        <v>1</v>
      </c>
      <c r="I394">
        <f t="shared" si="18"/>
        <v>1</v>
      </c>
      <c r="J394">
        <f t="shared" si="19"/>
        <v>1</v>
      </c>
      <c r="K394" t="str">
        <f t="shared" si="20"/>
        <v>0.99</v>
      </c>
    </row>
    <row r="395" spans="1:11" x14ac:dyDescent="0.3">
      <c r="A395">
        <v>28</v>
      </c>
      <c r="B395">
        <v>20.081442268436302</v>
      </c>
      <c r="C395">
        <v>71</v>
      </c>
      <c r="D395">
        <v>121</v>
      </c>
      <c r="E395">
        <v>0</v>
      </c>
      <c r="F395">
        <v>0</v>
      </c>
      <c r="G395">
        <v>0</v>
      </c>
      <c r="H395">
        <f>IF(OR(A395&lt;18, A395&gt;40, B395&gt;=30), 1, 0)</f>
        <v>0</v>
      </c>
      <c r="I395">
        <f t="shared" si="18"/>
        <v>0</v>
      </c>
      <c r="J395">
        <f t="shared" si="19"/>
        <v>1</v>
      </c>
      <c r="K395" t="str">
        <f t="shared" si="20"/>
        <v>0.33</v>
      </c>
    </row>
    <row r="396" spans="1:11" x14ac:dyDescent="0.3">
      <c r="A396">
        <v>33</v>
      </c>
      <c r="B396">
        <v>22.131677349691</v>
      </c>
      <c r="C396">
        <v>87</v>
      </c>
      <c r="D396">
        <v>127</v>
      </c>
      <c r="E396">
        <v>1</v>
      </c>
      <c r="F396">
        <v>1</v>
      </c>
      <c r="G396">
        <v>0</v>
      </c>
      <c r="H396">
        <f>IF(OR(A396&lt;18, A396&gt;40, B396&gt;=30), 1, 0)</f>
        <v>0</v>
      </c>
      <c r="I396">
        <f t="shared" si="18"/>
        <v>1</v>
      </c>
      <c r="J396">
        <f t="shared" si="19"/>
        <v>1</v>
      </c>
      <c r="K396" t="str">
        <f t="shared" si="20"/>
        <v>0.66</v>
      </c>
    </row>
    <row r="397" spans="1:11" x14ac:dyDescent="0.3">
      <c r="A397">
        <v>24</v>
      </c>
      <c r="B397">
        <v>22.661248397055001</v>
      </c>
      <c r="C397">
        <v>87</v>
      </c>
      <c r="D397">
        <v>130</v>
      </c>
      <c r="E397">
        <v>0</v>
      </c>
      <c r="F397">
        <v>0</v>
      </c>
      <c r="G397">
        <v>0</v>
      </c>
      <c r="H397">
        <f>IF(OR(A397&lt;18, A397&gt;40, B397&gt;=30), 1, 0)</f>
        <v>0</v>
      </c>
      <c r="I397">
        <f t="shared" si="18"/>
        <v>0</v>
      </c>
      <c r="J397">
        <f t="shared" si="19"/>
        <v>1</v>
      </c>
      <c r="K397" t="str">
        <f t="shared" si="20"/>
        <v>0.33</v>
      </c>
    </row>
    <row r="398" spans="1:11" x14ac:dyDescent="0.3">
      <c r="A398">
        <v>18</v>
      </c>
      <c r="B398">
        <v>32.477822884364599</v>
      </c>
      <c r="C398">
        <v>81</v>
      </c>
      <c r="D398">
        <v>124</v>
      </c>
      <c r="E398">
        <v>0</v>
      </c>
      <c r="F398">
        <v>1</v>
      </c>
      <c r="G398">
        <v>1</v>
      </c>
      <c r="H398">
        <f>IF(OR(A398&lt;18, A398&gt;40, B398&gt;=30), 1, 0)</f>
        <v>1</v>
      </c>
      <c r="I398">
        <f t="shared" si="18"/>
        <v>1</v>
      </c>
      <c r="J398">
        <f t="shared" si="19"/>
        <v>1</v>
      </c>
      <c r="K398" t="str">
        <f t="shared" si="20"/>
        <v>0.99</v>
      </c>
    </row>
    <row r="399" spans="1:11" x14ac:dyDescent="0.3">
      <c r="A399">
        <v>25</v>
      </c>
      <c r="B399">
        <v>18.335091915845499</v>
      </c>
      <c r="C399">
        <v>89</v>
      </c>
      <c r="D399">
        <v>136</v>
      </c>
      <c r="E399">
        <v>1</v>
      </c>
      <c r="F399">
        <v>0</v>
      </c>
      <c r="G399">
        <v>1</v>
      </c>
      <c r="H399">
        <f>IF(OR(A399&lt;18, A399&gt;40, B399&gt;=30), 1, 0)</f>
        <v>0</v>
      </c>
      <c r="I399">
        <f t="shared" si="18"/>
        <v>1</v>
      </c>
      <c r="J399">
        <f t="shared" si="19"/>
        <v>1</v>
      </c>
      <c r="K399" t="str">
        <f t="shared" si="20"/>
        <v>0.66</v>
      </c>
    </row>
    <row r="400" spans="1:11" x14ac:dyDescent="0.3">
      <c r="A400">
        <v>24</v>
      </c>
      <c r="B400">
        <v>34.690709609894398</v>
      </c>
      <c r="C400">
        <v>72</v>
      </c>
      <c r="D400">
        <v>120</v>
      </c>
      <c r="E400">
        <v>0</v>
      </c>
      <c r="F400">
        <v>0</v>
      </c>
      <c r="G400">
        <v>0</v>
      </c>
      <c r="H400">
        <f>IF(OR(A400&lt;18, A400&gt;40, B400&gt;=30), 1, 0)</f>
        <v>1</v>
      </c>
      <c r="I400">
        <f t="shared" si="18"/>
        <v>0</v>
      </c>
      <c r="J400">
        <f t="shared" si="19"/>
        <v>1</v>
      </c>
      <c r="K400" t="str">
        <f t="shared" si="20"/>
        <v>0.66</v>
      </c>
    </row>
    <row r="401" spans="1:11" x14ac:dyDescent="0.3">
      <c r="A401">
        <v>24</v>
      </c>
      <c r="B401">
        <v>25.276942785599399</v>
      </c>
      <c r="C401">
        <v>71</v>
      </c>
      <c r="D401">
        <v>137</v>
      </c>
      <c r="E401">
        <v>0</v>
      </c>
      <c r="F401">
        <v>1</v>
      </c>
      <c r="G401">
        <v>1</v>
      </c>
      <c r="H401">
        <f>IF(OR(A401&lt;18, A401&gt;40, B401&gt;=30), 1, 0)</f>
        <v>0</v>
      </c>
      <c r="I401">
        <f t="shared" si="18"/>
        <v>1</v>
      </c>
      <c r="J401">
        <f t="shared" si="19"/>
        <v>1</v>
      </c>
      <c r="K401" t="str">
        <f t="shared" si="20"/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preeclampsia_bd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morales</dc:creator>
  <cp:lastModifiedBy>moral</cp:lastModifiedBy>
  <dcterms:created xsi:type="dcterms:W3CDTF">2026-03-02T05:02:15Z</dcterms:created>
  <dcterms:modified xsi:type="dcterms:W3CDTF">2026-03-22T00:23:55Z</dcterms:modified>
</cp:coreProperties>
</file>