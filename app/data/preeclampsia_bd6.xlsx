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ral\OneDrive\Documentos\UP\Cuatrimestre 8\Desarrollo de Sistemas Biomédicos\Proyecto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N16" i="1" l="1"/>
  <c r="M3" i="1"/>
  <c r="M4" i="1"/>
  <c r="M5" i="1"/>
  <c r="M6" i="1"/>
  <c r="M7" i="1"/>
  <c r="M8" i="1"/>
  <c r="M9" i="1"/>
  <c r="N9" i="1" s="1"/>
  <c r="M10" i="1"/>
  <c r="M11" i="1"/>
  <c r="M12" i="1"/>
  <c r="M13" i="1"/>
  <c r="M14" i="1"/>
  <c r="M15" i="1"/>
  <c r="M16" i="1"/>
  <c r="M17" i="1"/>
  <c r="N17" i="1" s="1"/>
  <c r="M18" i="1"/>
  <c r="M19" i="1"/>
  <c r="M20" i="1"/>
  <c r="M21" i="1"/>
  <c r="M22" i="1"/>
  <c r="M23" i="1"/>
  <c r="N23" i="1" s="1"/>
  <c r="M24" i="1"/>
  <c r="M25" i="1"/>
  <c r="M26" i="1"/>
  <c r="N26" i="1" s="1"/>
  <c r="M27" i="1"/>
  <c r="M28" i="1"/>
  <c r="M29" i="1"/>
  <c r="M30" i="1"/>
  <c r="M31" i="1"/>
  <c r="N31" i="1" s="1"/>
  <c r="M32" i="1"/>
  <c r="M33" i="1"/>
  <c r="M34" i="1"/>
  <c r="M35" i="1"/>
  <c r="M36" i="1"/>
  <c r="M37" i="1"/>
  <c r="M38" i="1"/>
  <c r="M39" i="1"/>
  <c r="M40" i="1"/>
  <c r="N40" i="1" s="1"/>
  <c r="M41" i="1"/>
  <c r="N41" i="1" s="1"/>
  <c r="M42" i="1"/>
  <c r="M43" i="1"/>
  <c r="M44" i="1"/>
  <c r="M45" i="1"/>
  <c r="M46" i="1"/>
  <c r="M47" i="1"/>
  <c r="M48" i="1"/>
  <c r="N48" i="1" s="1"/>
  <c r="M49" i="1"/>
  <c r="N49" i="1" s="1"/>
  <c r="M50" i="1"/>
  <c r="N50" i="1" s="1"/>
  <c r="M51" i="1"/>
  <c r="M52" i="1"/>
  <c r="M53" i="1"/>
  <c r="M54" i="1"/>
  <c r="M55" i="1"/>
  <c r="N55" i="1" s="1"/>
  <c r="M56" i="1"/>
  <c r="M57" i="1"/>
  <c r="N57" i="1" s="1"/>
  <c r="M58" i="1"/>
  <c r="M59" i="1"/>
  <c r="M60" i="1"/>
  <c r="M61" i="1"/>
  <c r="M62" i="1"/>
  <c r="M63" i="1"/>
  <c r="M64" i="1"/>
  <c r="M65" i="1"/>
  <c r="N65" i="1" s="1"/>
  <c r="M66" i="1"/>
  <c r="N66" i="1" s="1"/>
  <c r="M67" i="1"/>
  <c r="M68" i="1"/>
  <c r="M69" i="1"/>
  <c r="M70" i="1"/>
  <c r="M71" i="1"/>
  <c r="N71" i="1" s="1"/>
  <c r="M72" i="1"/>
  <c r="M73" i="1"/>
  <c r="N73" i="1" s="1"/>
  <c r="M74" i="1"/>
  <c r="N74" i="1" s="1"/>
  <c r="M75" i="1"/>
  <c r="M76" i="1"/>
  <c r="M77" i="1"/>
  <c r="M78" i="1"/>
  <c r="M79" i="1"/>
  <c r="M80" i="1"/>
  <c r="N80" i="1" s="1"/>
  <c r="M81" i="1"/>
  <c r="M82" i="1"/>
  <c r="N82" i="1" s="1"/>
  <c r="M83" i="1"/>
  <c r="M84" i="1"/>
  <c r="M85" i="1"/>
  <c r="M86" i="1"/>
  <c r="M87" i="1"/>
  <c r="N87" i="1" s="1"/>
  <c r="M88" i="1"/>
  <c r="M89" i="1"/>
  <c r="M90" i="1"/>
  <c r="N90" i="1" s="1"/>
  <c r="M91" i="1"/>
  <c r="M92" i="1"/>
  <c r="M93" i="1"/>
  <c r="M94" i="1"/>
  <c r="M95" i="1"/>
  <c r="M96" i="1"/>
  <c r="N96" i="1" s="1"/>
  <c r="M97" i="1"/>
  <c r="M98" i="1"/>
  <c r="M99" i="1"/>
  <c r="M100" i="1"/>
  <c r="M101" i="1"/>
  <c r="M102" i="1"/>
  <c r="M103" i="1"/>
  <c r="N103" i="1" s="1"/>
  <c r="M104" i="1"/>
  <c r="N104" i="1" s="1"/>
  <c r="M105" i="1"/>
  <c r="N105" i="1" s="1"/>
  <c r="M106" i="1"/>
  <c r="N106" i="1" s="1"/>
  <c r="M107" i="1"/>
  <c r="M108" i="1"/>
  <c r="M109" i="1"/>
  <c r="M110" i="1"/>
  <c r="M111" i="1"/>
  <c r="M112" i="1"/>
  <c r="N112" i="1" s="1"/>
  <c r="M113" i="1"/>
  <c r="M114" i="1"/>
  <c r="M115" i="1"/>
  <c r="M116" i="1"/>
  <c r="M117" i="1"/>
  <c r="M118" i="1"/>
  <c r="M119" i="1"/>
  <c r="M120" i="1"/>
  <c r="M121" i="1"/>
  <c r="M122" i="1"/>
  <c r="N122" i="1" s="1"/>
  <c r="M123" i="1"/>
  <c r="M124" i="1"/>
  <c r="M125" i="1"/>
  <c r="M126" i="1"/>
  <c r="M127" i="1"/>
  <c r="N127" i="1" s="1"/>
  <c r="M128" i="1"/>
  <c r="M129" i="1"/>
  <c r="M130" i="1"/>
  <c r="N130" i="1" s="1"/>
  <c r="M131" i="1"/>
  <c r="M132" i="1"/>
  <c r="M133" i="1"/>
  <c r="M134" i="1"/>
  <c r="M135" i="1"/>
  <c r="N135" i="1" s="1"/>
  <c r="M136" i="1"/>
  <c r="N136" i="1" s="1"/>
  <c r="M137" i="1"/>
  <c r="N137" i="1" s="1"/>
  <c r="M138" i="1"/>
  <c r="M139" i="1"/>
  <c r="M140" i="1"/>
  <c r="M141" i="1"/>
  <c r="M142" i="1"/>
  <c r="M143" i="1"/>
  <c r="N143" i="1" s="1"/>
  <c r="M144" i="1"/>
  <c r="M145" i="1"/>
  <c r="N145" i="1" s="1"/>
  <c r="M146" i="1"/>
  <c r="N146" i="1" s="1"/>
  <c r="M147" i="1"/>
  <c r="M148" i="1"/>
  <c r="M149" i="1"/>
  <c r="M150" i="1"/>
  <c r="M151" i="1"/>
  <c r="M152" i="1"/>
  <c r="N152" i="1" s="1"/>
  <c r="M153" i="1"/>
  <c r="M154" i="1"/>
  <c r="M155" i="1"/>
  <c r="M156" i="1"/>
  <c r="M157" i="1"/>
  <c r="M158" i="1"/>
  <c r="M159" i="1"/>
  <c r="N159" i="1" s="1"/>
  <c r="M160" i="1"/>
  <c r="M161" i="1"/>
  <c r="M162" i="1"/>
  <c r="M163" i="1"/>
  <c r="M164" i="1"/>
  <c r="M165" i="1"/>
  <c r="M166" i="1"/>
  <c r="M167" i="1"/>
  <c r="N167" i="1" s="1"/>
  <c r="M168" i="1"/>
  <c r="M169" i="1"/>
  <c r="N169" i="1" s="1"/>
  <c r="M170" i="1"/>
  <c r="N170" i="1" s="1"/>
  <c r="M171" i="1"/>
  <c r="M172" i="1"/>
  <c r="M173" i="1"/>
  <c r="M174" i="1"/>
  <c r="M175" i="1"/>
  <c r="N175" i="1" s="1"/>
  <c r="M176" i="1"/>
  <c r="N176" i="1" s="1"/>
  <c r="M177" i="1"/>
  <c r="M178" i="1"/>
  <c r="N178" i="1" s="1"/>
  <c r="M179" i="1"/>
  <c r="M180" i="1"/>
  <c r="M181" i="1"/>
  <c r="M182" i="1"/>
  <c r="M183" i="1"/>
  <c r="N183" i="1" s="1"/>
  <c r="M184" i="1"/>
  <c r="N184" i="1" s="1"/>
  <c r="M185" i="1"/>
  <c r="N185" i="1" s="1"/>
  <c r="M186" i="1"/>
  <c r="N186" i="1" s="1"/>
  <c r="M187" i="1"/>
  <c r="M188" i="1"/>
  <c r="M189" i="1"/>
  <c r="M190" i="1"/>
  <c r="M191" i="1"/>
  <c r="N191" i="1" s="1"/>
  <c r="M192" i="1"/>
  <c r="N192" i="1" s="1"/>
  <c r="M193" i="1"/>
  <c r="N193" i="1" s="1"/>
  <c r="M194" i="1"/>
  <c r="M195" i="1"/>
  <c r="M196" i="1"/>
  <c r="M197" i="1"/>
  <c r="M198" i="1"/>
  <c r="M199" i="1"/>
  <c r="M200" i="1"/>
  <c r="M201" i="1"/>
  <c r="M202" i="1"/>
  <c r="N202" i="1" s="1"/>
  <c r="M203" i="1"/>
  <c r="M204" i="1"/>
  <c r="M205" i="1"/>
  <c r="M206" i="1"/>
  <c r="M207" i="1"/>
  <c r="N207" i="1" s="1"/>
  <c r="M208" i="1"/>
  <c r="N208" i="1" s="1"/>
  <c r="M209" i="1"/>
  <c r="N209" i="1" s="1"/>
  <c r="M210" i="1"/>
  <c r="M211" i="1"/>
  <c r="M212" i="1"/>
  <c r="M213" i="1"/>
  <c r="M214" i="1"/>
  <c r="M215" i="1"/>
  <c r="M216" i="1"/>
  <c r="M217" i="1"/>
  <c r="N217" i="1" s="1"/>
  <c r="M218" i="1"/>
  <c r="M219" i="1"/>
  <c r="M220" i="1"/>
  <c r="M221" i="1"/>
  <c r="M222" i="1"/>
  <c r="M223" i="1"/>
  <c r="N223" i="1" s="1"/>
  <c r="M224" i="1"/>
  <c r="M225" i="1"/>
  <c r="N225" i="1" s="1"/>
  <c r="M226" i="1"/>
  <c r="N226" i="1" s="1"/>
  <c r="M227" i="1"/>
  <c r="M228" i="1"/>
  <c r="M229" i="1"/>
  <c r="M230" i="1"/>
  <c r="M231" i="1"/>
  <c r="M232" i="1"/>
  <c r="N232" i="1" s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N247" i="1" s="1"/>
  <c r="M248" i="1"/>
  <c r="M249" i="1"/>
  <c r="N249" i="1" s="1"/>
  <c r="M250" i="1"/>
  <c r="M251" i="1"/>
  <c r="M252" i="1"/>
  <c r="M253" i="1"/>
  <c r="M254" i="1"/>
  <c r="M255" i="1"/>
  <c r="M256" i="1"/>
  <c r="N256" i="1" s="1"/>
  <c r="M257" i="1"/>
  <c r="M258" i="1"/>
  <c r="N258" i="1" s="1"/>
  <c r="M259" i="1"/>
  <c r="M260" i="1"/>
  <c r="M261" i="1"/>
  <c r="M262" i="1"/>
  <c r="M263" i="1"/>
  <c r="N263" i="1" s="1"/>
  <c r="M264" i="1"/>
  <c r="N264" i="1" s="1"/>
  <c r="M265" i="1"/>
  <c r="N265" i="1" s="1"/>
  <c r="M266" i="1"/>
  <c r="N266" i="1" s="1"/>
  <c r="M267" i="1"/>
  <c r="M268" i="1"/>
  <c r="M269" i="1"/>
  <c r="M270" i="1"/>
  <c r="M271" i="1"/>
  <c r="N271" i="1" s="1"/>
  <c r="M272" i="1"/>
  <c r="N272" i="1" s="1"/>
  <c r="M273" i="1"/>
  <c r="M274" i="1"/>
  <c r="M275" i="1"/>
  <c r="M276" i="1"/>
  <c r="M277" i="1"/>
  <c r="M278" i="1"/>
  <c r="M279" i="1"/>
  <c r="M280" i="1"/>
  <c r="M281" i="1"/>
  <c r="M282" i="1"/>
  <c r="N282" i="1" s="1"/>
  <c r="M283" i="1"/>
  <c r="M284" i="1"/>
  <c r="M285" i="1"/>
  <c r="M286" i="1"/>
  <c r="M287" i="1"/>
  <c r="M288" i="1"/>
  <c r="M289" i="1"/>
  <c r="N289" i="1" s="1"/>
  <c r="M290" i="1"/>
  <c r="N290" i="1" s="1"/>
  <c r="M291" i="1"/>
  <c r="M292" i="1"/>
  <c r="M293" i="1"/>
  <c r="M294" i="1"/>
  <c r="M295" i="1"/>
  <c r="M296" i="1"/>
  <c r="M297" i="1"/>
  <c r="M298" i="1"/>
  <c r="N298" i="1" s="1"/>
  <c r="M299" i="1"/>
  <c r="M300" i="1"/>
  <c r="M301" i="1"/>
  <c r="M302" i="1"/>
  <c r="M303" i="1"/>
  <c r="N303" i="1" s="1"/>
  <c r="M304" i="1"/>
  <c r="M305" i="1"/>
  <c r="N305" i="1" s="1"/>
  <c r="M306" i="1"/>
  <c r="N306" i="1" s="1"/>
  <c r="M307" i="1"/>
  <c r="M308" i="1"/>
  <c r="M309" i="1"/>
  <c r="M310" i="1"/>
  <c r="M311" i="1"/>
  <c r="M312" i="1"/>
  <c r="N312" i="1" s="1"/>
  <c r="M313" i="1"/>
  <c r="N313" i="1" s="1"/>
  <c r="M314" i="1"/>
  <c r="N314" i="1" s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N337" i="1" s="1"/>
  <c r="M338" i="1"/>
  <c r="N338" i="1" s="1"/>
  <c r="M339" i="1"/>
  <c r="M340" i="1"/>
  <c r="M341" i="1"/>
  <c r="M342" i="1"/>
  <c r="M343" i="1"/>
  <c r="N343" i="1" s="1"/>
  <c r="M344" i="1"/>
  <c r="M345" i="1"/>
  <c r="N345" i="1" s="1"/>
  <c r="M346" i="1"/>
  <c r="M347" i="1"/>
  <c r="M348" i="1"/>
  <c r="M349" i="1"/>
  <c r="M350" i="1"/>
  <c r="M351" i="1"/>
  <c r="N351" i="1" s="1"/>
  <c r="M352" i="1"/>
  <c r="M353" i="1"/>
  <c r="N353" i="1" s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N368" i="1" s="1"/>
  <c r="M369" i="1"/>
  <c r="N369" i="1" s="1"/>
  <c r="M370" i="1"/>
  <c r="N370" i="1" s="1"/>
  <c r="M371" i="1"/>
  <c r="M372" i="1"/>
  <c r="M373" i="1"/>
  <c r="M374" i="1"/>
  <c r="M375" i="1"/>
  <c r="N375" i="1" s="1"/>
  <c r="M376" i="1"/>
  <c r="M377" i="1"/>
  <c r="N377" i="1" s="1"/>
  <c r="M378" i="1"/>
  <c r="M379" i="1"/>
  <c r="M380" i="1"/>
  <c r="M381" i="1"/>
  <c r="M382" i="1"/>
  <c r="M383" i="1"/>
  <c r="M384" i="1"/>
  <c r="N384" i="1" s="1"/>
  <c r="M385" i="1"/>
  <c r="N385" i="1" s="1"/>
  <c r="M386" i="1"/>
  <c r="N386" i="1" s="1"/>
  <c r="M387" i="1"/>
  <c r="M388" i="1"/>
  <c r="M389" i="1"/>
  <c r="M390" i="1"/>
  <c r="M391" i="1"/>
  <c r="M392" i="1"/>
  <c r="M393" i="1"/>
  <c r="N393" i="1" s="1"/>
  <c r="M394" i="1"/>
  <c r="M395" i="1"/>
  <c r="M396" i="1"/>
  <c r="M397" i="1"/>
  <c r="M398" i="1"/>
  <c r="M399" i="1"/>
  <c r="M400" i="1"/>
  <c r="M401" i="1"/>
  <c r="N401" i="1" s="1"/>
  <c r="M2" i="1"/>
  <c r="N18" i="1"/>
  <c r="N19" i="1"/>
  <c r="N20" i="1"/>
  <c r="N21" i="1"/>
  <c r="N22" i="1"/>
  <c r="N24" i="1"/>
  <c r="N25" i="1"/>
  <c r="N27" i="1"/>
  <c r="N28" i="1"/>
  <c r="N29" i="1"/>
  <c r="N30" i="1"/>
  <c r="N32" i="1"/>
  <c r="N33" i="1"/>
  <c r="N34" i="1"/>
  <c r="N35" i="1"/>
  <c r="N36" i="1"/>
  <c r="N37" i="1"/>
  <c r="N38" i="1"/>
  <c r="N39" i="1"/>
  <c r="N42" i="1"/>
  <c r="N43" i="1"/>
  <c r="N44" i="1"/>
  <c r="N45" i="1"/>
  <c r="N46" i="1"/>
  <c r="N47" i="1"/>
  <c r="N51" i="1"/>
  <c r="N52" i="1"/>
  <c r="N53" i="1"/>
  <c r="N54" i="1"/>
  <c r="N56" i="1"/>
  <c r="N58" i="1"/>
  <c r="N59" i="1"/>
  <c r="N60" i="1"/>
  <c r="N61" i="1"/>
  <c r="N62" i="1"/>
  <c r="N63" i="1"/>
  <c r="N64" i="1"/>
  <c r="N67" i="1"/>
  <c r="N68" i="1"/>
  <c r="N69" i="1"/>
  <c r="N70" i="1"/>
  <c r="N72" i="1"/>
  <c r="N75" i="1"/>
  <c r="N76" i="1"/>
  <c r="N77" i="1"/>
  <c r="N78" i="1"/>
  <c r="N79" i="1"/>
  <c r="N81" i="1"/>
  <c r="N83" i="1"/>
  <c r="N84" i="1"/>
  <c r="N85" i="1"/>
  <c r="N86" i="1"/>
  <c r="N88" i="1"/>
  <c r="N89" i="1"/>
  <c r="N91" i="1"/>
  <c r="N92" i="1"/>
  <c r="N93" i="1"/>
  <c r="N94" i="1"/>
  <c r="N95" i="1"/>
  <c r="N97" i="1"/>
  <c r="N98" i="1"/>
  <c r="N99" i="1"/>
  <c r="N100" i="1"/>
  <c r="N101" i="1"/>
  <c r="N102" i="1"/>
  <c r="N107" i="1"/>
  <c r="N108" i="1"/>
  <c r="N109" i="1"/>
  <c r="N110" i="1"/>
  <c r="N111" i="1"/>
  <c r="N113" i="1"/>
  <c r="N114" i="1"/>
  <c r="N115" i="1"/>
  <c r="N116" i="1"/>
  <c r="N117" i="1"/>
  <c r="N118" i="1"/>
  <c r="N119" i="1"/>
  <c r="N120" i="1"/>
  <c r="N121" i="1"/>
  <c r="N123" i="1"/>
  <c r="N124" i="1"/>
  <c r="N125" i="1"/>
  <c r="N126" i="1"/>
  <c r="N128" i="1"/>
  <c r="N129" i="1"/>
  <c r="N131" i="1"/>
  <c r="N132" i="1"/>
  <c r="N133" i="1"/>
  <c r="N134" i="1"/>
  <c r="N138" i="1"/>
  <c r="N139" i="1"/>
  <c r="N140" i="1"/>
  <c r="N141" i="1"/>
  <c r="N142" i="1"/>
  <c r="N144" i="1"/>
  <c r="N147" i="1"/>
  <c r="N148" i="1"/>
  <c r="N149" i="1"/>
  <c r="N150" i="1"/>
  <c r="N151" i="1"/>
  <c r="N153" i="1"/>
  <c r="N154" i="1"/>
  <c r="N155" i="1"/>
  <c r="N156" i="1"/>
  <c r="N157" i="1"/>
  <c r="N158" i="1"/>
  <c r="N160" i="1"/>
  <c r="N161" i="1"/>
  <c r="N162" i="1"/>
  <c r="N163" i="1"/>
  <c r="N164" i="1"/>
  <c r="N165" i="1"/>
  <c r="N166" i="1"/>
  <c r="N168" i="1"/>
  <c r="N171" i="1"/>
  <c r="N172" i="1"/>
  <c r="N173" i="1"/>
  <c r="N174" i="1"/>
  <c r="N177" i="1"/>
  <c r="N179" i="1"/>
  <c r="N180" i="1"/>
  <c r="N181" i="1"/>
  <c r="N182" i="1"/>
  <c r="N187" i="1"/>
  <c r="N188" i="1"/>
  <c r="N189" i="1"/>
  <c r="N190" i="1"/>
  <c r="N194" i="1"/>
  <c r="N195" i="1"/>
  <c r="N196" i="1"/>
  <c r="N197" i="1"/>
  <c r="N198" i="1"/>
  <c r="N199" i="1"/>
  <c r="N200" i="1"/>
  <c r="N201" i="1"/>
  <c r="N203" i="1"/>
  <c r="N204" i="1"/>
  <c r="N205" i="1"/>
  <c r="N206" i="1"/>
  <c r="N210" i="1"/>
  <c r="N211" i="1"/>
  <c r="N212" i="1"/>
  <c r="N213" i="1"/>
  <c r="N214" i="1"/>
  <c r="N215" i="1"/>
  <c r="N216" i="1"/>
  <c r="N218" i="1"/>
  <c r="N219" i="1"/>
  <c r="N220" i="1"/>
  <c r="N221" i="1"/>
  <c r="N222" i="1"/>
  <c r="N224" i="1"/>
  <c r="N227" i="1"/>
  <c r="N228" i="1"/>
  <c r="N229" i="1"/>
  <c r="N230" i="1"/>
  <c r="N231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8" i="1"/>
  <c r="N250" i="1"/>
  <c r="N251" i="1"/>
  <c r="N252" i="1"/>
  <c r="N253" i="1"/>
  <c r="N254" i="1"/>
  <c r="N255" i="1"/>
  <c r="N257" i="1"/>
  <c r="N259" i="1"/>
  <c r="N260" i="1"/>
  <c r="N261" i="1"/>
  <c r="N262" i="1"/>
  <c r="N267" i="1"/>
  <c r="N268" i="1"/>
  <c r="N269" i="1"/>
  <c r="N270" i="1"/>
  <c r="N273" i="1"/>
  <c r="N274" i="1"/>
  <c r="N275" i="1"/>
  <c r="N276" i="1"/>
  <c r="N277" i="1"/>
  <c r="N278" i="1"/>
  <c r="N279" i="1"/>
  <c r="N280" i="1"/>
  <c r="N281" i="1"/>
  <c r="N283" i="1"/>
  <c r="N284" i="1"/>
  <c r="N285" i="1"/>
  <c r="N286" i="1"/>
  <c r="N287" i="1"/>
  <c r="N288" i="1"/>
  <c r="N291" i="1"/>
  <c r="N292" i="1"/>
  <c r="N293" i="1"/>
  <c r="N294" i="1"/>
  <c r="N295" i="1"/>
  <c r="N296" i="1"/>
  <c r="N297" i="1"/>
  <c r="N299" i="1"/>
  <c r="N300" i="1"/>
  <c r="N301" i="1"/>
  <c r="N302" i="1"/>
  <c r="N304" i="1"/>
  <c r="N307" i="1"/>
  <c r="N308" i="1"/>
  <c r="N309" i="1"/>
  <c r="N310" i="1"/>
  <c r="N311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9" i="1"/>
  <c r="N340" i="1"/>
  <c r="N341" i="1"/>
  <c r="N342" i="1"/>
  <c r="N344" i="1"/>
  <c r="N346" i="1"/>
  <c r="N347" i="1"/>
  <c r="N348" i="1"/>
  <c r="N349" i="1"/>
  <c r="N350" i="1"/>
  <c r="N352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71" i="1"/>
  <c r="N372" i="1"/>
  <c r="N373" i="1"/>
  <c r="N374" i="1"/>
  <c r="N376" i="1"/>
  <c r="N378" i="1"/>
  <c r="N379" i="1"/>
  <c r="N380" i="1"/>
  <c r="N381" i="1"/>
  <c r="N382" i="1"/>
  <c r="N383" i="1"/>
  <c r="N387" i="1"/>
  <c r="N388" i="1"/>
  <c r="N389" i="1"/>
  <c r="N390" i="1"/>
  <c r="N391" i="1"/>
  <c r="N392" i="1"/>
  <c r="N394" i="1"/>
  <c r="N395" i="1"/>
  <c r="N396" i="1"/>
  <c r="N397" i="1"/>
  <c r="N398" i="1"/>
  <c r="N399" i="1"/>
  <c r="N400" i="1"/>
  <c r="N3" i="1"/>
  <c r="N4" i="1"/>
  <c r="N5" i="1"/>
  <c r="N6" i="1"/>
  <c r="N7" i="1"/>
  <c r="N8" i="1"/>
  <c r="N10" i="1"/>
  <c r="N11" i="1"/>
  <c r="N12" i="1"/>
  <c r="N13" i="1"/>
  <c r="N14" i="1"/>
  <c r="N15" i="1"/>
  <c r="N2" i="1"/>
</calcChain>
</file>

<file path=xl/sharedStrings.xml><?xml version="1.0" encoding="utf-8"?>
<sst xmlns="http://schemas.openxmlformats.org/spreadsheetml/2006/main" count="15" uniqueCount="15">
  <si>
    <t>age</t>
  </si>
  <si>
    <t>bmi</t>
  </si>
  <si>
    <t>sysbp</t>
  </si>
  <si>
    <t>diabp</t>
  </si>
  <si>
    <t>htn</t>
  </si>
  <si>
    <t>diabetes</t>
  </si>
  <si>
    <t>fam_htn</t>
  </si>
  <si>
    <t>fam_cardiopatia</t>
  </si>
  <si>
    <t>enf_renal_cronica</t>
  </si>
  <si>
    <t>embarazo_multiple</t>
  </si>
  <si>
    <t>muerte_fetal</t>
  </si>
  <si>
    <t>restriccion_fetal</t>
  </si>
  <si>
    <t>presion_art_media</t>
  </si>
  <si>
    <t>Risk</t>
  </si>
  <si>
    <t>riesgo_clase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</si>
</sst>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55A11"/>
        <b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"/>
  <sheetViews>
    <sheetView tabSelected="1" topLeftCell="A288" zoomScale="73" workbookViewId="0">
      <selection activeCell="A17" sqref="A17"/>
    </sheetView>
  </sheetViews>
  <sheetFormatPr baseColWidth="10" defaultColWidth="8.88671875" defaultRowHeight="14.4" x14ac:dyDescent="0.3"/>
  <cols>
    <col min="1" max="7" width="13" customWidth="1"/>
    <col min="8" max="8" width="18" customWidth="1"/>
    <col min="9" max="10" width="20" customWidth="1"/>
    <col min="11" max="11" width="15" customWidth="1"/>
    <col min="12" max="13" width="20" customWidth="1"/>
    <col min="14" max="14" width="26" customWidth="1"/>
    <col min="15" max="15" width="15" customWidth="1"/>
  </cols>
  <sheetData>
    <row r="1" spans="1:1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3">
      <c r="A2" s="4">
        <v>50</v>
      </c>
      <c r="B2" s="4">
        <v>29.8</v>
      </c>
      <c r="C2" s="4">
        <v>93</v>
      </c>
      <c r="D2" s="4">
        <v>65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f>ROUND((MAX(C2, D2) + (2 * MIN(C2, D2))) / 3, 2)</f>
        <v>74.33</v>
      </c>
      <c r="N2" t="str">
        <f>IF(OR(MAX(C2, D2)&gt;=160, MIN(C2, D2)&gt;=110), "Hospitalización urgente", IF(OR(E2=1, F2=1, I2=1, J2=1, (IF(A2&gt;40, 1.82, 0) + IF(B2&gt;=30, 2.47, 0) + IF(MAX(C2, D2)&gt;=140, 2.4, 0) + IF(MIN(C2, D2)&gt;=90, 1.4, 0) + IF(E2=1, 3.6, 0) + IF(F2=1, 3.6, 0) + IF(G2=1, 3, 0) + IF(H2=1, 3, 0) + IF(I2=1, 3.6, 0) + IF(J2=1, 2.9, 0))&gt;19.01), "Alto", IF(OR(K2=1, L2=1, M2&gt;95, (IF(A2&gt;40, 1.82, 0) + IF(B2&gt;=30, 2.47, 0) + IF(MAX(C2, D2)&gt;=140, 2.4, 0) + IF(MIN(C2, D2)&gt;=90, 1.4, 0) + IF(E2=1, 3.6, 0) + IF(F2=1, 3.6, 0) + IF(G2=1, 3, 0) + IF(H2=1, 3, 0) + IF(I2=1, 3.6, 0) + IF(J2=1, 2.9, 0))&gt;0), "Medio", "Ninguno")))</f>
        <v>Alto</v>
      </c>
    </row>
    <row r="3" spans="1:15" x14ac:dyDescent="0.3">
      <c r="A3" s="4">
        <v>28</v>
      </c>
      <c r="B3" s="4">
        <v>21.05</v>
      </c>
      <c r="C3" s="4">
        <v>162</v>
      </c>
      <c r="D3" s="4">
        <v>74</v>
      </c>
      <c r="E3" s="4">
        <v>1</v>
      </c>
      <c r="F3" s="4">
        <v>1</v>
      </c>
      <c r="G3" s="4">
        <v>0</v>
      </c>
      <c r="H3" s="4">
        <v>1</v>
      </c>
      <c r="I3" s="4">
        <v>1</v>
      </c>
      <c r="J3" s="4">
        <v>0</v>
      </c>
      <c r="K3" s="4">
        <v>0</v>
      </c>
      <c r="L3" s="4">
        <v>0</v>
      </c>
      <c r="M3" s="4">
        <f t="shared" ref="M3:M66" si="0">ROUND((MAX(C3, D3) + (2 * MIN(C3, D3))) / 3, 2)</f>
        <v>103.33</v>
      </c>
      <c r="N3" t="str">
        <f t="shared" ref="N3:N66" si="1">IF(OR(MAX(C3, D3)&gt;=160, MIN(C3, D3)&gt;=110), "Hospitalización urgente", IF(OR(E3=1, F3=1, I3=1, J3=1, (IF(A3&gt;40, 1.82, 0) + IF(B3&gt;=30, 2.47, 0) + IF(MAX(C3, D3)&gt;=140, 2.4, 0) + IF(MIN(C3, D3)&gt;=90, 1.4, 0) + IF(E3=1, 3.6, 0) + IF(F3=1, 3.6, 0) + IF(G3=1, 3, 0) + IF(H3=1, 3, 0) + IF(I3=1, 3.6, 0) + IF(J3=1, 2.9, 0))&gt;19.01), "Alto", IF(OR(K3=1, L3=1, M3&gt;95, (IF(A3&gt;40, 1.82, 0) + IF(B3&gt;=30, 2.47, 0) + IF(MAX(C3, D3)&gt;=140, 2.4, 0) + IF(MIN(C3, D3)&gt;=90, 1.4, 0) + IF(E3=1, 3.6, 0) + IF(F3=1, 3.6, 0) + IF(G3=1, 3, 0) + IF(H3=1, 3, 0) + IF(I3=1, 3.6, 0) + IF(J3=1, 2.9, 0))&gt;0), "Medio", "Ninguno")))</f>
        <v>Hospitalización urgente</v>
      </c>
    </row>
    <row r="4" spans="1:15" x14ac:dyDescent="0.3">
      <c r="A4" s="4">
        <v>24</v>
      </c>
      <c r="B4" s="4">
        <v>25.59</v>
      </c>
      <c r="C4" s="4">
        <v>97</v>
      </c>
      <c r="D4" s="4">
        <v>72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f t="shared" si="0"/>
        <v>80.33</v>
      </c>
      <c r="N4" t="str">
        <f t="shared" si="1"/>
        <v>Ninguno</v>
      </c>
    </row>
    <row r="5" spans="1:15" x14ac:dyDescent="0.3">
      <c r="A5" s="4">
        <v>42</v>
      </c>
      <c r="B5" s="4">
        <v>20.03</v>
      </c>
      <c r="C5" s="4">
        <v>123</v>
      </c>
      <c r="D5" s="4">
        <v>111</v>
      </c>
      <c r="E5" s="4">
        <v>0</v>
      </c>
      <c r="F5" s="4">
        <v>1</v>
      </c>
      <c r="G5" s="4">
        <v>1</v>
      </c>
      <c r="H5" s="4">
        <v>0</v>
      </c>
      <c r="I5" s="4">
        <v>0</v>
      </c>
      <c r="J5" s="4">
        <v>1</v>
      </c>
      <c r="K5" s="4">
        <v>0</v>
      </c>
      <c r="L5" s="4">
        <v>0</v>
      </c>
      <c r="M5" s="4">
        <f t="shared" si="0"/>
        <v>115</v>
      </c>
      <c r="N5" t="str">
        <f t="shared" si="1"/>
        <v>Hospitalización urgente</v>
      </c>
    </row>
    <row r="6" spans="1:15" x14ac:dyDescent="0.3">
      <c r="A6" s="4">
        <v>38</v>
      </c>
      <c r="B6" s="4">
        <v>19.38</v>
      </c>
      <c r="C6" s="4">
        <v>117</v>
      </c>
      <c r="D6" s="4">
        <v>74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f t="shared" si="0"/>
        <v>88.33</v>
      </c>
      <c r="N6" t="str">
        <f t="shared" si="1"/>
        <v>Ninguno</v>
      </c>
    </row>
    <row r="7" spans="1:15" x14ac:dyDescent="0.3">
      <c r="A7" s="4">
        <v>27</v>
      </c>
      <c r="B7" s="4">
        <v>26.33</v>
      </c>
      <c r="C7" s="4">
        <v>119</v>
      </c>
      <c r="D7" s="4">
        <v>78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f t="shared" si="0"/>
        <v>91.67</v>
      </c>
      <c r="N7" t="str">
        <f t="shared" si="1"/>
        <v>Ninguno</v>
      </c>
    </row>
    <row r="8" spans="1:15" x14ac:dyDescent="0.3">
      <c r="A8" s="4">
        <v>55</v>
      </c>
      <c r="B8" s="4">
        <v>43.4</v>
      </c>
      <c r="C8" s="4">
        <v>211</v>
      </c>
      <c r="D8" s="4">
        <v>130</v>
      </c>
      <c r="E8" s="4">
        <v>0</v>
      </c>
      <c r="F8" s="4">
        <v>0</v>
      </c>
      <c r="G8" s="4">
        <v>1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f t="shared" si="0"/>
        <v>157</v>
      </c>
      <c r="N8" t="str">
        <f t="shared" si="1"/>
        <v>Hospitalización urgente</v>
      </c>
    </row>
    <row r="9" spans="1:15" x14ac:dyDescent="0.3">
      <c r="A9" s="4">
        <v>33</v>
      </c>
      <c r="B9" s="4">
        <v>29.61</v>
      </c>
      <c r="C9" s="4">
        <v>96</v>
      </c>
      <c r="D9" s="4">
        <v>83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f t="shared" si="0"/>
        <v>87.33</v>
      </c>
      <c r="N9" t="str">
        <f t="shared" si="1"/>
        <v>Ninguno</v>
      </c>
    </row>
    <row r="10" spans="1:15" x14ac:dyDescent="0.3">
      <c r="A10" s="4">
        <v>37</v>
      </c>
      <c r="B10" s="4">
        <v>30.81</v>
      </c>
      <c r="C10" s="4">
        <v>110</v>
      </c>
      <c r="D10" s="4">
        <v>86</v>
      </c>
      <c r="E10" s="4">
        <v>1</v>
      </c>
      <c r="F10" s="4">
        <v>0</v>
      </c>
      <c r="G10" s="4">
        <v>1</v>
      </c>
      <c r="H10" s="4">
        <v>0</v>
      </c>
      <c r="I10" s="4">
        <v>0</v>
      </c>
      <c r="J10" s="4">
        <v>1</v>
      </c>
      <c r="K10" s="4">
        <v>0</v>
      </c>
      <c r="L10" s="4">
        <v>1</v>
      </c>
      <c r="M10" s="4">
        <f t="shared" si="0"/>
        <v>94</v>
      </c>
      <c r="N10" t="str">
        <f t="shared" si="1"/>
        <v>Alto</v>
      </c>
    </row>
    <row r="11" spans="1:15" x14ac:dyDescent="0.3">
      <c r="A11" s="4">
        <v>42</v>
      </c>
      <c r="B11" s="4">
        <v>36.159999999999997</v>
      </c>
      <c r="C11" s="4">
        <v>117</v>
      </c>
      <c r="D11" s="4">
        <v>71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f t="shared" si="0"/>
        <v>86.33</v>
      </c>
      <c r="N11" t="str">
        <f t="shared" si="1"/>
        <v>Medio</v>
      </c>
    </row>
    <row r="12" spans="1:15" x14ac:dyDescent="0.3">
      <c r="A12" s="4">
        <v>22</v>
      </c>
      <c r="B12" s="4">
        <v>21.37</v>
      </c>
      <c r="C12" s="4">
        <v>98</v>
      </c>
      <c r="D12" s="4">
        <v>53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f t="shared" si="0"/>
        <v>68</v>
      </c>
      <c r="N12" t="str">
        <f t="shared" si="1"/>
        <v>Ninguno</v>
      </c>
    </row>
    <row r="13" spans="1:15" x14ac:dyDescent="0.3">
      <c r="A13" s="4">
        <v>33</v>
      </c>
      <c r="B13" s="4">
        <v>33.79</v>
      </c>
      <c r="C13" s="4">
        <v>184</v>
      </c>
      <c r="D13" s="4">
        <v>138</v>
      </c>
      <c r="E13" s="4">
        <v>1</v>
      </c>
      <c r="F13" s="4">
        <v>1</v>
      </c>
      <c r="G13" s="4">
        <v>0</v>
      </c>
      <c r="H13" s="4">
        <v>1</v>
      </c>
      <c r="I13" s="4">
        <v>0</v>
      </c>
      <c r="J13" s="4">
        <v>0</v>
      </c>
      <c r="K13" s="4">
        <v>1</v>
      </c>
      <c r="L13" s="4">
        <v>0</v>
      </c>
      <c r="M13" s="4">
        <f t="shared" si="0"/>
        <v>153.33000000000001</v>
      </c>
      <c r="N13" t="str">
        <f t="shared" si="1"/>
        <v>Hospitalización urgente</v>
      </c>
    </row>
    <row r="14" spans="1:15" x14ac:dyDescent="0.3">
      <c r="A14" s="4">
        <v>37</v>
      </c>
      <c r="B14" s="4">
        <v>26.13</v>
      </c>
      <c r="C14" s="4">
        <v>100</v>
      </c>
      <c r="D14" s="4">
        <v>66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f t="shared" si="0"/>
        <v>77.33</v>
      </c>
      <c r="N14" t="str">
        <f t="shared" si="1"/>
        <v>Ninguno</v>
      </c>
    </row>
    <row r="15" spans="1:15" x14ac:dyDescent="0.3">
      <c r="A15" s="4">
        <v>30</v>
      </c>
      <c r="B15" s="4">
        <v>28.09</v>
      </c>
      <c r="C15" s="4">
        <v>90</v>
      </c>
      <c r="D15" s="4">
        <v>69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f t="shared" si="0"/>
        <v>76</v>
      </c>
      <c r="N15" t="str">
        <f t="shared" si="1"/>
        <v>Ninguno</v>
      </c>
    </row>
    <row r="16" spans="1:15" x14ac:dyDescent="0.3">
      <c r="A16" s="4">
        <v>46</v>
      </c>
      <c r="B16" s="4">
        <v>30.32</v>
      </c>
      <c r="C16" s="4">
        <v>153</v>
      </c>
      <c r="D16" s="4">
        <v>101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f t="shared" si="0"/>
        <v>118.33</v>
      </c>
      <c r="N16" t="str">
        <f t="shared" si="1"/>
        <v>Medio</v>
      </c>
    </row>
    <row r="17" spans="1:14" x14ac:dyDescent="0.3">
      <c r="A17" s="4">
        <v>36</v>
      </c>
      <c r="B17" s="4">
        <v>19.149999999999999</v>
      </c>
      <c r="C17" s="4">
        <v>97</v>
      </c>
      <c r="D17" s="4">
        <v>52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f t="shared" si="0"/>
        <v>67</v>
      </c>
      <c r="N17" t="str">
        <f t="shared" si="1"/>
        <v>Ninguno</v>
      </c>
    </row>
    <row r="18" spans="1:14" x14ac:dyDescent="0.3">
      <c r="A18" s="4">
        <v>30</v>
      </c>
      <c r="B18" s="4">
        <v>27.58</v>
      </c>
      <c r="C18" s="4">
        <v>142</v>
      </c>
      <c r="D18" s="4">
        <v>90</v>
      </c>
      <c r="E18" s="4">
        <v>0</v>
      </c>
      <c r="F18" s="4">
        <v>1</v>
      </c>
      <c r="G18" s="4">
        <v>0</v>
      </c>
      <c r="H18" s="4">
        <v>0</v>
      </c>
      <c r="I18" s="4">
        <v>1</v>
      </c>
      <c r="J18" s="4">
        <v>0</v>
      </c>
      <c r="K18" s="4">
        <v>0</v>
      </c>
      <c r="L18" s="4">
        <v>0</v>
      </c>
      <c r="M18" s="4">
        <f t="shared" si="0"/>
        <v>107.33</v>
      </c>
      <c r="N18" t="str">
        <f t="shared" si="1"/>
        <v>Alto</v>
      </c>
    </row>
    <row r="19" spans="1:14" x14ac:dyDescent="0.3">
      <c r="A19" s="4">
        <v>30</v>
      </c>
      <c r="B19" s="4">
        <v>37.799999999999997</v>
      </c>
      <c r="C19" s="4">
        <v>207</v>
      </c>
      <c r="D19" s="4">
        <v>112</v>
      </c>
      <c r="E19" s="4">
        <v>0</v>
      </c>
      <c r="F19" s="4">
        <v>1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f t="shared" si="0"/>
        <v>143.66999999999999</v>
      </c>
      <c r="N19" t="str">
        <f t="shared" si="1"/>
        <v>Hospitalización urgente</v>
      </c>
    </row>
    <row r="20" spans="1:14" x14ac:dyDescent="0.3">
      <c r="A20" s="4">
        <v>18</v>
      </c>
      <c r="B20" s="4">
        <v>30.18</v>
      </c>
      <c r="C20" s="4">
        <v>162</v>
      </c>
      <c r="D20" s="4">
        <v>93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f t="shared" si="0"/>
        <v>116</v>
      </c>
      <c r="N20" t="str">
        <f t="shared" si="1"/>
        <v>Hospitalización urgente</v>
      </c>
    </row>
    <row r="21" spans="1:14" x14ac:dyDescent="0.3">
      <c r="A21" s="4">
        <v>54</v>
      </c>
      <c r="B21" s="4">
        <v>38.54</v>
      </c>
      <c r="C21" s="4">
        <v>182</v>
      </c>
      <c r="D21" s="4">
        <v>135</v>
      </c>
      <c r="E21" s="4">
        <v>1</v>
      </c>
      <c r="F21" s="4">
        <v>0</v>
      </c>
      <c r="G21" s="4">
        <v>0</v>
      </c>
      <c r="H21" s="4">
        <v>1</v>
      </c>
      <c r="I21" s="4">
        <v>1</v>
      </c>
      <c r="J21" s="4">
        <v>1</v>
      </c>
      <c r="K21" s="4">
        <v>0</v>
      </c>
      <c r="L21" s="4">
        <v>1</v>
      </c>
      <c r="M21" s="4">
        <f t="shared" si="0"/>
        <v>150.66999999999999</v>
      </c>
      <c r="N21" t="str">
        <f t="shared" si="1"/>
        <v>Hospitalización urgente</v>
      </c>
    </row>
    <row r="22" spans="1:14" x14ac:dyDescent="0.3">
      <c r="A22" s="4">
        <v>30</v>
      </c>
      <c r="B22" s="4">
        <v>29.58</v>
      </c>
      <c r="C22" s="4">
        <v>90</v>
      </c>
      <c r="D22" s="4">
        <v>82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f t="shared" si="0"/>
        <v>84.67</v>
      </c>
      <c r="N22" t="str">
        <f t="shared" si="1"/>
        <v>Ninguno</v>
      </c>
    </row>
    <row r="23" spans="1:14" x14ac:dyDescent="0.3">
      <c r="A23" s="4">
        <v>34</v>
      </c>
      <c r="B23" s="4">
        <v>23.18</v>
      </c>
      <c r="C23" s="4">
        <v>109</v>
      </c>
      <c r="D23" s="4">
        <v>51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f t="shared" si="0"/>
        <v>70.33</v>
      </c>
      <c r="N23" t="str">
        <f t="shared" si="1"/>
        <v>Ninguno</v>
      </c>
    </row>
    <row r="24" spans="1:14" x14ac:dyDescent="0.3">
      <c r="A24" s="4">
        <v>29</v>
      </c>
      <c r="B24" s="4">
        <v>24.4</v>
      </c>
      <c r="C24" s="4">
        <v>204</v>
      </c>
      <c r="D24" s="4">
        <v>140</v>
      </c>
      <c r="E24" s="4">
        <v>0</v>
      </c>
      <c r="F24" s="4">
        <v>1</v>
      </c>
      <c r="G24" s="4">
        <v>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f t="shared" si="0"/>
        <v>161.33000000000001</v>
      </c>
      <c r="N24" t="str">
        <f t="shared" si="1"/>
        <v>Hospitalización urgente</v>
      </c>
    </row>
    <row r="25" spans="1:14" x14ac:dyDescent="0.3">
      <c r="A25" s="4">
        <v>22</v>
      </c>
      <c r="B25" s="4">
        <v>22.34</v>
      </c>
      <c r="C25" s="4">
        <v>140</v>
      </c>
      <c r="D25" s="4">
        <v>82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f t="shared" si="0"/>
        <v>101.33</v>
      </c>
      <c r="N25" t="str">
        <f t="shared" si="1"/>
        <v>Alto</v>
      </c>
    </row>
    <row r="26" spans="1:14" x14ac:dyDescent="0.3">
      <c r="A26" s="4">
        <v>39</v>
      </c>
      <c r="B26" s="4">
        <v>24.94</v>
      </c>
      <c r="C26" s="4">
        <v>105</v>
      </c>
      <c r="D26" s="4">
        <v>56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f t="shared" si="0"/>
        <v>72.33</v>
      </c>
      <c r="N26" t="str">
        <f t="shared" si="1"/>
        <v>Medio</v>
      </c>
    </row>
    <row r="27" spans="1:14" x14ac:dyDescent="0.3">
      <c r="A27" s="4">
        <v>30</v>
      </c>
      <c r="B27" s="4">
        <v>26.41</v>
      </c>
      <c r="C27" s="4">
        <v>213</v>
      </c>
      <c r="D27" s="4">
        <v>124</v>
      </c>
      <c r="E27" s="4">
        <v>1</v>
      </c>
      <c r="F27" s="4">
        <v>0</v>
      </c>
      <c r="G27" s="4">
        <v>1</v>
      </c>
      <c r="H27" s="4">
        <v>0</v>
      </c>
      <c r="I27" s="4">
        <v>1</v>
      </c>
      <c r="J27" s="4">
        <v>1</v>
      </c>
      <c r="K27" s="4">
        <v>0</v>
      </c>
      <c r="L27" s="4">
        <v>0</v>
      </c>
      <c r="M27" s="4">
        <f t="shared" si="0"/>
        <v>153.66999999999999</v>
      </c>
      <c r="N27" t="str">
        <f t="shared" si="1"/>
        <v>Hospitalización urgente</v>
      </c>
    </row>
    <row r="28" spans="1:14" x14ac:dyDescent="0.3">
      <c r="A28" s="4">
        <v>51</v>
      </c>
      <c r="B28" s="4">
        <v>29.83</v>
      </c>
      <c r="C28" s="4">
        <v>154</v>
      </c>
      <c r="D28" s="4">
        <v>90</v>
      </c>
      <c r="E28" s="4">
        <v>0</v>
      </c>
      <c r="F28" s="4">
        <v>0</v>
      </c>
      <c r="G28" s="4">
        <v>1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 t="shared" si="0"/>
        <v>111.33</v>
      </c>
      <c r="N28" t="str">
        <f t="shared" si="1"/>
        <v>Medio</v>
      </c>
    </row>
    <row r="29" spans="1:14" x14ac:dyDescent="0.3">
      <c r="A29" s="4">
        <v>21</v>
      </c>
      <c r="B29" s="4">
        <v>29.36</v>
      </c>
      <c r="C29" s="4">
        <v>100</v>
      </c>
      <c r="D29" s="4">
        <v>92</v>
      </c>
      <c r="E29" s="4">
        <v>1</v>
      </c>
      <c r="F29" s="4">
        <v>1</v>
      </c>
      <c r="G29" s="4">
        <v>1</v>
      </c>
      <c r="H29" s="4">
        <v>0</v>
      </c>
      <c r="I29" s="4">
        <v>0</v>
      </c>
      <c r="J29" s="4">
        <v>1</v>
      </c>
      <c r="K29" s="4">
        <v>0</v>
      </c>
      <c r="L29" s="4">
        <v>0</v>
      </c>
      <c r="M29" s="4">
        <f t="shared" si="0"/>
        <v>94.67</v>
      </c>
      <c r="N29" t="str">
        <f t="shared" si="1"/>
        <v>Alto</v>
      </c>
    </row>
    <row r="30" spans="1:14" x14ac:dyDescent="0.3">
      <c r="A30" s="4">
        <v>33</v>
      </c>
      <c r="B30" s="4">
        <v>23.24</v>
      </c>
      <c r="C30" s="4">
        <v>163</v>
      </c>
      <c r="D30" s="4">
        <v>86</v>
      </c>
      <c r="E30" s="4">
        <v>1</v>
      </c>
      <c r="F30" s="4">
        <v>1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f t="shared" si="0"/>
        <v>111.67</v>
      </c>
      <c r="N30" t="str">
        <f t="shared" si="1"/>
        <v>Hospitalización urgente</v>
      </c>
    </row>
    <row r="31" spans="1:14" x14ac:dyDescent="0.3">
      <c r="A31" s="4">
        <v>44</v>
      </c>
      <c r="B31" s="4">
        <v>33.15</v>
      </c>
      <c r="C31" s="4">
        <v>125</v>
      </c>
      <c r="D31" s="4">
        <v>109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f t="shared" si="0"/>
        <v>114.33</v>
      </c>
      <c r="N31" t="str">
        <f t="shared" si="1"/>
        <v>Medio</v>
      </c>
    </row>
    <row r="32" spans="1:14" x14ac:dyDescent="0.3">
      <c r="A32" s="4">
        <v>46</v>
      </c>
      <c r="B32" s="4">
        <v>27.55</v>
      </c>
      <c r="C32" s="4">
        <v>170</v>
      </c>
      <c r="D32" s="4">
        <v>131</v>
      </c>
      <c r="E32" s="4">
        <v>0</v>
      </c>
      <c r="F32" s="4">
        <v>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f t="shared" si="0"/>
        <v>144</v>
      </c>
      <c r="N32" t="str">
        <f t="shared" si="1"/>
        <v>Hospitalización urgente</v>
      </c>
    </row>
    <row r="33" spans="1:14" x14ac:dyDescent="0.3">
      <c r="A33" s="4">
        <v>32</v>
      </c>
      <c r="B33" s="4">
        <v>39.5</v>
      </c>
      <c r="C33" s="4">
        <v>144</v>
      </c>
      <c r="D33" s="4">
        <v>66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f t="shared" si="0"/>
        <v>92</v>
      </c>
      <c r="N33" t="str">
        <f t="shared" si="1"/>
        <v>Medio</v>
      </c>
    </row>
    <row r="34" spans="1:14" x14ac:dyDescent="0.3">
      <c r="A34" s="4">
        <v>43</v>
      </c>
      <c r="B34" s="4">
        <v>41.82</v>
      </c>
      <c r="C34" s="4">
        <v>144</v>
      </c>
      <c r="D34" s="4">
        <v>64</v>
      </c>
      <c r="E34" s="4">
        <v>1</v>
      </c>
      <c r="F34" s="4">
        <v>1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f t="shared" si="0"/>
        <v>90.67</v>
      </c>
      <c r="N34" t="str">
        <f t="shared" si="1"/>
        <v>Alto</v>
      </c>
    </row>
    <row r="35" spans="1:14" x14ac:dyDescent="0.3">
      <c r="A35" s="4">
        <v>34</v>
      </c>
      <c r="B35" s="4">
        <v>23.45</v>
      </c>
      <c r="C35" s="4">
        <v>96</v>
      </c>
      <c r="D35" s="4">
        <v>69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f t="shared" si="0"/>
        <v>78</v>
      </c>
      <c r="N35" t="str">
        <f t="shared" si="1"/>
        <v>Ninguno</v>
      </c>
    </row>
    <row r="36" spans="1:14" x14ac:dyDescent="0.3">
      <c r="A36" s="4">
        <v>24</v>
      </c>
      <c r="B36" s="4">
        <v>22.34</v>
      </c>
      <c r="C36" s="4">
        <v>126</v>
      </c>
      <c r="D36" s="4">
        <v>79</v>
      </c>
      <c r="E36" s="4">
        <v>1</v>
      </c>
      <c r="F36" s="4">
        <v>0</v>
      </c>
      <c r="G36" s="4">
        <v>0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s="4">
        <f t="shared" si="0"/>
        <v>94.67</v>
      </c>
      <c r="N36" t="str">
        <f t="shared" si="1"/>
        <v>Alto</v>
      </c>
    </row>
    <row r="37" spans="1:14" x14ac:dyDescent="0.3">
      <c r="A37" s="4">
        <v>39</v>
      </c>
      <c r="B37" s="4">
        <v>32.75</v>
      </c>
      <c r="C37" s="4">
        <v>124</v>
      </c>
      <c r="D37" s="4">
        <v>99</v>
      </c>
      <c r="E37" s="4">
        <v>0</v>
      </c>
      <c r="F37" s="4">
        <v>0</v>
      </c>
      <c r="G37" s="4">
        <v>1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f t="shared" si="0"/>
        <v>107.33</v>
      </c>
      <c r="N37" t="str">
        <f t="shared" si="1"/>
        <v>Medio</v>
      </c>
    </row>
    <row r="38" spans="1:14" x14ac:dyDescent="0.3">
      <c r="A38" s="4">
        <v>27</v>
      </c>
      <c r="B38" s="4">
        <v>29.74</v>
      </c>
      <c r="C38" s="4">
        <v>118</v>
      </c>
      <c r="D38" s="4">
        <v>93</v>
      </c>
      <c r="E38" s="4">
        <v>0</v>
      </c>
      <c r="F38" s="4">
        <v>0</v>
      </c>
      <c r="G38" s="4">
        <v>1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4">
        <f t="shared" si="0"/>
        <v>101.33</v>
      </c>
      <c r="N38" t="str">
        <f t="shared" si="1"/>
        <v>Medio</v>
      </c>
    </row>
    <row r="39" spans="1:14" x14ac:dyDescent="0.3">
      <c r="A39" s="4">
        <v>53</v>
      </c>
      <c r="B39" s="4">
        <v>42.83</v>
      </c>
      <c r="C39" s="4">
        <v>174</v>
      </c>
      <c r="D39" s="4">
        <v>114</v>
      </c>
      <c r="E39" s="4">
        <v>0</v>
      </c>
      <c r="F39" s="4">
        <v>0</v>
      </c>
      <c r="G39" s="4">
        <v>0</v>
      </c>
      <c r="H39" s="4">
        <v>0</v>
      </c>
      <c r="I39" s="4">
        <v>1</v>
      </c>
      <c r="J39" s="4">
        <v>0</v>
      </c>
      <c r="K39" s="4">
        <v>0</v>
      </c>
      <c r="L39" s="4">
        <v>0</v>
      </c>
      <c r="M39" s="4">
        <f t="shared" si="0"/>
        <v>134</v>
      </c>
      <c r="N39" t="str">
        <f t="shared" si="1"/>
        <v>Hospitalización urgente</v>
      </c>
    </row>
    <row r="40" spans="1:14" x14ac:dyDescent="0.3">
      <c r="A40" s="4">
        <v>55</v>
      </c>
      <c r="B40" s="4">
        <v>28.08</v>
      </c>
      <c r="C40" s="4">
        <v>103</v>
      </c>
      <c r="D40" s="4">
        <v>95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f t="shared" si="0"/>
        <v>97.67</v>
      </c>
      <c r="N40" t="str">
        <f t="shared" si="1"/>
        <v>Medio</v>
      </c>
    </row>
    <row r="41" spans="1:14" x14ac:dyDescent="0.3">
      <c r="A41" s="4">
        <v>52</v>
      </c>
      <c r="B41" s="4">
        <v>39.479999999999997</v>
      </c>
      <c r="C41" s="4">
        <v>158</v>
      </c>
      <c r="D41" s="4">
        <v>102</v>
      </c>
      <c r="E41" s="4">
        <v>0</v>
      </c>
      <c r="F41" s="4">
        <v>0</v>
      </c>
      <c r="G41" s="4">
        <v>1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f t="shared" si="0"/>
        <v>120.67</v>
      </c>
      <c r="N41" t="str">
        <f t="shared" si="1"/>
        <v>Medio</v>
      </c>
    </row>
    <row r="42" spans="1:14" x14ac:dyDescent="0.3">
      <c r="A42" s="4">
        <v>24</v>
      </c>
      <c r="B42" s="4">
        <v>24.8</v>
      </c>
      <c r="C42" s="4">
        <v>218</v>
      </c>
      <c r="D42" s="4">
        <v>139</v>
      </c>
      <c r="E42" s="4">
        <v>1</v>
      </c>
      <c r="F42" s="4">
        <v>1</v>
      </c>
      <c r="G42" s="4">
        <v>1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  <c r="M42" s="4">
        <f t="shared" si="0"/>
        <v>165.33</v>
      </c>
      <c r="N42" t="str">
        <f t="shared" si="1"/>
        <v>Hospitalización urgente</v>
      </c>
    </row>
    <row r="43" spans="1:14" x14ac:dyDescent="0.3">
      <c r="A43" s="4">
        <v>33</v>
      </c>
      <c r="B43" s="4">
        <v>28.13</v>
      </c>
      <c r="C43" s="4">
        <v>104</v>
      </c>
      <c r="D43" s="4">
        <v>57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f t="shared" si="0"/>
        <v>72.67</v>
      </c>
      <c r="N43" t="str">
        <f t="shared" si="1"/>
        <v>Ninguno</v>
      </c>
    </row>
    <row r="44" spans="1:14" x14ac:dyDescent="0.3">
      <c r="A44" s="4">
        <v>21</v>
      </c>
      <c r="B44" s="4">
        <v>19.78</v>
      </c>
      <c r="C44" s="4">
        <v>110</v>
      </c>
      <c r="D44" s="4">
        <v>74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f t="shared" si="0"/>
        <v>86</v>
      </c>
      <c r="N44" t="str">
        <f t="shared" si="1"/>
        <v>Ninguno</v>
      </c>
    </row>
    <row r="45" spans="1:14" x14ac:dyDescent="0.3">
      <c r="A45" s="4">
        <v>29</v>
      </c>
      <c r="B45" s="4">
        <v>23.67</v>
      </c>
      <c r="C45" s="4">
        <v>103</v>
      </c>
      <c r="D45" s="4">
        <v>77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</v>
      </c>
      <c r="M45" s="4">
        <f t="shared" si="0"/>
        <v>85.67</v>
      </c>
      <c r="N45" t="str">
        <f t="shared" si="1"/>
        <v>Medio</v>
      </c>
    </row>
    <row r="46" spans="1:14" x14ac:dyDescent="0.3">
      <c r="A46" s="4">
        <v>24</v>
      </c>
      <c r="B46" s="4">
        <v>23.04</v>
      </c>
      <c r="C46" s="4">
        <v>115</v>
      </c>
      <c r="D46" s="4">
        <v>52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f t="shared" si="0"/>
        <v>73</v>
      </c>
      <c r="N46" t="str">
        <f t="shared" si="1"/>
        <v>Ninguno</v>
      </c>
    </row>
    <row r="47" spans="1:14" x14ac:dyDescent="0.3">
      <c r="A47" s="4">
        <v>27</v>
      </c>
      <c r="B47" s="4">
        <v>33.1</v>
      </c>
      <c r="C47" s="4">
        <v>160</v>
      </c>
      <c r="D47" s="4">
        <v>134</v>
      </c>
      <c r="E47" s="4">
        <v>1</v>
      </c>
      <c r="F47" s="4">
        <v>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f t="shared" si="0"/>
        <v>142.66999999999999</v>
      </c>
      <c r="N47" t="str">
        <f t="shared" si="1"/>
        <v>Hospitalización urgente</v>
      </c>
    </row>
    <row r="48" spans="1:14" x14ac:dyDescent="0.3">
      <c r="A48" s="4">
        <v>53</v>
      </c>
      <c r="B48" s="4">
        <v>29.7</v>
      </c>
      <c r="C48" s="4">
        <v>128</v>
      </c>
      <c r="D48" s="4">
        <v>95</v>
      </c>
      <c r="E48" s="4">
        <v>0</v>
      </c>
      <c r="F48" s="4">
        <v>0</v>
      </c>
      <c r="G48" s="4">
        <v>1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>
        <f t="shared" si="0"/>
        <v>106</v>
      </c>
      <c r="N48" t="str">
        <f t="shared" si="1"/>
        <v>Medio</v>
      </c>
    </row>
    <row r="49" spans="1:14" x14ac:dyDescent="0.3">
      <c r="A49" s="4">
        <v>37</v>
      </c>
      <c r="B49" s="4">
        <v>30.5</v>
      </c>
      <c r="C49" s="4">
        <v>106</v>
      </c>
      <c r="D49" s="4">
        <v>76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f t="shared" si="0"/>
        <v>86</v>
      </c>
      <c r="N49" t="str">
        <f t="shared" si="1"/>
        <v>Medio</v>
      </c>
    </row>
    <row r="50" spans="1:14" x14ac:dyDescent="0.3">
      <c r="A50" s="4">
        <v>29</v>
      </c>
      <c r="B50" s="4">
        <v>28.1</v>
      </c>
      <c r="C50" s="4">
        <v>110</v>
      </c>
      <c r="D50" s="4">
        <v>62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f t="shared" si="0"/>
        <v>78</v>
      </c>
      <c r="N50" t="str">
        <f t="shared" si="1"/>
        <v>Ninguno</v>
      </c>
    </row>
    <row r="51" spans="1:14" x14ac:dyDescent="0.3">
      <c r="A51" s="4">
        <v>47</v>
      </c>
      <c r="B51" s="4">
        <v>34.69</v>
      </c>
      <c r="C51" s="4">
        <v>115</v>
      </c>
      <c r="D51" s="4">
        <v>87</v>
      </c>
      <c r="E51" s="4">
        <v>0</v>
      </c>
      <c r="F51" s="4">
        <v>0</v>
      </c>
      <c r="G51" s="4">
        <v>1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>
        <f t="shared" si="0"/>
        <v>96.33</v>
      </c>
      <c r="N51" t="str">
        <f t="shared" si="1"/>
        <v>Medio</v>
      </c>
    </row>
    <row r="52" spans="1:14" x14ac:dyDescent="0.3">
      <c r="A52" s="4">
        <v>19</v>
      </c>
      <c r="B52" s="4">
        <v>18.5</v>
      </c>
      <c r="C52" s="4">
        <v>101</v>
      </c>
      <c r="D52" s="4">
        <v>61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f t="shared" si="0"/>
        <v>74.33</v>
      </c>
      <c r="N52" t="str">
        <f t="shared" si="1"/>
        <v>Ninguno</v>
      </c>
    </row>
    <row r="53" spans="1:14" x14ac:dyDescent="0.3">
      <c r="A53" s="4">
        <v>36</v>
      </c>
      <c r="B53" s="4">
        <v>41.92</v>
      </c>
      <c r="C53" s="4">
        <v>206</v>
      </c>
      <c r="D53" s="4">
        <v>129</v>
      </c>
      <c r="E53" s="4">
        <v>1</v>
      </c>
      <c r="F53" s="4">
        <v>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f t="shared" si="0"/>
        <v>154.66999999999999</v>
      </c>
      <c r="N53" t="str">
        <f t="shared" si="1"/>
        <v>Hospitalización urgente</v>
      </c>
    </row>
    <row r="54" spans="1:14" x14ac:dyDescent="0.3">
      <c r="A54" s="4">
        <v>22</v>
      </c>
      <c r="B54" s="4">
        <v>27.26</v>
      </c>
      <c r="C54" s="4">
        <v>181</v>
      </c>
      <c r="D54" s="4">
        <v>125</v>
      </c>
      <c r="E54" s="4">
        <v>1</v>
      </c>
      <c r="F54" s="4">
        <v>0</v>
      </c>
      <c r="G54" s="4">
        <v>1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f t="shared" si="0"/>
        <v>143.66999999999999</v>
      </c>
      <c r="N54" t="str">
        <f t="shared" si="1"/>
        <v>Hospitalización urgente</v>
      </c>
    </row>
    <row r="55" spans="1:14" x14ac:dyDescent="0.3">
      <c r="A55" s="4">
        <v>36</v>
      </c>
      <c r="B55" s="4">
        <v>19.940000000000001</v>
      </c>
      <c r="C55" s="4">
        <v>101</v>
      </c>
      <c r="D55" s="4">
        <v>80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f t="shared" si="0"/>
        <v>87</v>
      </c>
      <c r="N55" t="str">
        <f t="shared" si="1"/>
        <v>Ninguno</v>
      </c>
    </row>
    <row r="56" spans="1:14" x14ac:dyDescent="0.3">
      <c r="A56" s="4">
        <v>21</v>
      </c>
      <c r="B56" s="4">
        <v>27.35</v>
      </c>
      <c r="C56" s="4">
        <v>195</v>
      </c>
      <c r="D56" s="4">
        <v>114</v>
      </c>
      <c r="E56" s="4">
        <v>0</v>
      </c>
      <c r="F56" s="4">
        <v>0</v>
      </c>
      <c r="G56" s="4">
        <v>0</v>
      </c>
      <c r="H56" s="4">
        <v>0</v>
      </c>
      <c r="I56" s="4">
        <v>1</v>
      </c>
      <c r="J56" s="4">
        <v>0</v>
      </c>
      <c r="K56" s="4">
        <v>0</v>
      </c>
      <c r="L56" s="4">
        <v>0</v>
      </c>
      <c r="M56" s="4">
        <f t="shared" si="0"/>
        <v>141</v>
      </c>
      <c r="N56" t="str">
        <f t="shared" si="1"/>
        <v>Hospitalización urgente</v>
      </c>
    </row>
    <row r="57" spans="1:14" x14ac:dyDescent="0.3">
      <c r="A57" s="4">
        <v>36</v>
      </c>
      <c r="B57" s="4">
        <v>18.63</v>
      </c>
      <c r="C57" s="4">
        <v>108</v>
      </c>
      <c r="D57" s="4">
        <v>84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f t="shared" si="0"/>
        <v>92</v>
      </c>
      <c r="N57" t="str">
        <f t="shared" si="1"/>
        <v>Ninguno</v>
      </c>
    </row>
    <row r="58" spans="1:14" x14ac:dyDescent="0.3">
      <c r="A58" s="4">
        <v>49</v>
      </c>
      <c r="B58" s="4">
        <v>32.74</v>
      </c>
      <c r="C58" s="4">
        <v>141</v>
      </c>
      <c r="D58" s="4">
        <v>65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1</v>
      </c>
      <c r="M58" s="4">
        <f t="shared" si="0"/>
        <v>90.33</v>
      </c>
      <c r="N58" t="str">
        <f t="shared" si="1"/>
        <v>Alto</v>
      </c>
    </row>
    <row r="59" spans="1:14" x14ac:dyDescent="0.3">
      <c r="A59" s="4">
        <v>34</v>
      </c>
      <c r="B59" s="4">
        <v>25.69</v>
      </c>
      <c r="C59" s="4">
        <v>136</v>
      </c>
      <c r="D59" s="4">
        <v>107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f t="shared" si="0"/>
        <v>116.67</v>
      </c>
      <c r="N59" t="str">
        <f t="shared" si="1"/>
        <v>Medio</v>
      </c>
    </row>
    <row r="60" spans="1:14" x14ac:dyDescent="0.3">
      <c r="A60" s="4">
        <v>25</v>
      </c>
      <c r="B60" s="4">
        <v>24.17</v>
      </c>
      <c r="C60" s="4">
        <v>98</v>
      </c>
      <c r="D60" s="4">
        <v>71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f t="shared" si="0"/>
        <v>80</v>
      </c>
      <c r="N60" t="str">
        <f t="shared" si="1"/>
        <v>Ninguno</v>
      </c>
    </row>
    <row r="61" spans="1:14" x14ac:dyDescent="0.3">
      <c r="A61" s="4">
        <v>48</v>
      </c>
      <c r="B61" s="4">
        <v>35.729999999999997</v>
      </c>
      <c r="C61" s="4">
        <v>134</v>
      </c>
      <c r="D61" s="4">
        <v>99</v>
      </c>
      <c r="E61" s="4">
        <v>0</v>
      </c>
      <c r="F61" s="4">
        <v>0</v>
      </c>
      <c r="G61" s="4">
        <v>1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f t="shared" si="0"/>
        <v>110.67</v>
      </c>
      <c r="N61" t="str">
        <f t="shared" si="1"/>
        <v>Medio</v>
      </c>
    </row>
    <row r="62" spans="1:14" x14ac:dyDescent="0.3">
      <c r="A62" s="4">
        <v>29</v>
      </c>
      <c r="B62" s="4">
        <v>32.07</v>
      </c>
      <c r="C62" s="4">
        <v>151</v>
      </c>
      <c r="D62" s="4">
        <v>75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1</v>
      </c>
      <c r="L62" s="4">
        <v>0</v>
      </c>
      <c r="M62" s="4">
        <f t="shared" si="0"/>
        <v>100.33</v>
      </c>
      <c r="N62" t="str">
        <f t="shared" si="1"/>
        <v>Medio</v>
      </c>
    </row>
    <row r="63" spans="1:14" x14ac:dyDescent="0.3">
      <c r="A63" s="4">
        <v>28</v>
      </c>
      <c r="B63" s="4">
        <v>38.29</v>
      </c>
      <c r="C63" s="4">
        <v>127</v>
      </c>
      <c r="D63" s="4">
        <v>116</v>
      </c>
      <c r="E63" s="4">
        <v>1</v>
      </c>
      <c r="F63" s="4">
        <v>1</v>
      </c>
      <c r="G63" s="4">
        <v>0</v>
      </c>
      <c r="H63" s="4">
        <v>0</v>
      </c>
      <c r="I63" s="4">
        <v>0</v>
      </c>
      <c r="J63" s="4">
        <v>1</v>
      </c>
      <c r="K63" s="4">
        <v>0</v>
      </c>
      <c r="L63" s="4">
        <v>0</v>
      </c>
      <c r="M63" s="4">
        <f t="shared" si="0"/>
        <v>119.67</v>
      </c>
      <c r="N63" t="str">
        <f t="shared" si="1"/>
        <v>Hospitalización urgente</v>
      </c>
    </row>
    <row r="64" spans="1:14" x14ac:dyDescent="0.3">
      <c r="A64" s="4">
        <v>43</v>
      </c>
      <c r="B64" s="4">
        <v>34.200000000000003</v>
      </c>
      <c r="C64" s="4">
        <v>102</v>
      </c>
      <c r="D64" s="4">
        <v>62</v>
      </c>
      <c r="E64" s="4">
        <v>0</v>
      </c>
      <c r="F64" s="4">
        <v>1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f t="shared" si="0"/>
        <v>75.33</v>
      </c>
      <c r="N64" t="str">
        <f t="shared" si="1"/>
        <v>Alto</v>
      </c>
    </row>
    <row r="65" spans="1:14" x14ac:dyDescent="0.3">
      <c r="A65" s="4">
        <v>19</v>
      </c>
      <c r="B65" s="4">
        <v>29.71</v>
      </c>
      <c r="C65" s="4">
        <v>104</v>
      </c>
      <c r="D65" s="4">
        <v>77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f t="shared" si="0"/>
        <v>86</v>
      </c>
      <c r="N65" t="str">
        <f t="shared" si="1"/>
        <v>Ninguno</v>
      </c>
    </row>
    <row r="66" spans="1:14" x14ac:dyDescent="0.3">
      <c r="A66" s="4">
        <v>51</v>
      </c>
      <c r="B66" s="4">
        <v>29.71</v>
      </c>
      <c r="C66" s="4">
        <v>131</v>
      </c>
      <c r="D66" s="4">
        <v>60</v>
      </c>
      <c r="E66" s="4">
        <v>0</v>
      </c>
      <c r="F66" s="4">
        <v>0</v>
      </c>
      <c r="G66" s="4">
        <v>1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  <c r="M66" s="4">
        <f t="shared" si="0"/>
        <v>83.67</v>
      </c>
      <c r="N66" t="str">
        <f t="shared" si="1"/>
        <v>Medio</v>
      </c>
    </row>
    <row r="67" spans="1:14" x14ac:dyDescent="0.3">
      <c r="A67" s="4">
        <v>25</v>
      </c>
      <c r="B67" s="4">
        <v>21.45</v>
      </c>
      <c r="C67" s="4">
        <v>90</v>
      </c>
      <c r="D67" s="4">
        <v>78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f t="shared" ref="M67:M130" si="2">ROUND((MAX(C67, D67) + (2 * MIN(C67, D67))) / 3, 2)</f>
        <v>82</v>
      </c>
      <c r="N67" t="str">
        <f t="shared" ref="N67:N130" si="3">IF(OR(MAX(C67, D67)&gt;=160, MIN(C67, D67)&gt;=110), "Hospitalización urgente", IF(OR(E67=1, F67=1, I67=1, J67=1, (IF(A67&gt;40, 1.82, 0) + IF(B67&gt;=30, 2.47, 0) + IF(MAX(C67, D67)&gt;=140, 2.4, 0) + IF(MIN(C67, D67)&gt;=90, 1.4, 0) + IF(E67=1, 3.6, 0) + IF(F67=1, 3.6, 0) + IF(G67=1, 3, 0) + IF(H67=1, 3, 0) + IF(I67=1, 3.6, 0) + IF(J67=1, 2.9, 0))&gt;19.01), "Alto", IF(OR(K67=1, L67=1, M67&gt;95, (IF(A67&gt;40, 1.82, 0) + IF(B67&gt;=30, 2.47, 0) + IF(MAX(C67, D67)&gt;=140, 2.4, 0) + IF(MIN(C67, D67)&gt;=90, 1.4, 0) + IF(E67=1, 3.6, 0) + IF(F67=1, 3.6, 0) + IF(G67=1, 3, 0) + IF(H67=1, 3, 0) + IF(I67=1, 3.6, 0) + IF(J67=1, 2.9, 0))&gt;0), "Medio", "Ninguno")))</f>
        <v>Ninguno</v>
      </c>
    </row>
    <row r="68" spans="1:14" x14ac:dyDescent="0.3">
      <c r="A68" s="4">
        <v>34</v>
      </c>
      <c r="B68" s="4">
        <v>43.21</v>
      </c>
      <c r="C68" s="4">
        <v>220</v>
      </c>
      <c r="D68" s="4">
        <v>120</v>
      </c>
      <c r="E68" s="4">
        <v>1</v>
      </c>
      <c r="F68" s="4">
        <v>1</v>
      </c>
      <c r="G68" s="4">
        <v>1</v>
      </c>
      <c r="H68" s="4">
        <v>1</v>
      </c>
      <c r="I68" s="4">
        <v>0</v>
      </c>
      <c r="J68" s="4">
        <v>0</v>
      </c>
      <c r="K68" s="4">
        <v>1</v>
      </c>
      <c r="L68" s="4">
        <v>0</v>
      </c>
      <c r="M68" s="4">
        <f t="shared" si="2"/>
        <v>153.33000000000001</v>
      </c>
      <c r="N68" t="str">
        <f t="shared" si="3"/>
        <v>Hospitalización urgente</v>
      </c>
    </row>
    <row r="69" spans="1:14" x14ac:dyDescent="0.3">
      <c r="A69" s="4">
        <v>40</v>
      </c>
      <c r="B69" s="4">
        <v>21.7</v>
      </c>
      <c r="C69" s="4">
        <v>148</v>
      </c>
      <c r="D69" s="4">
        <v>68</v>
      </c>
      <c r="E69" s="4">
        <v>1</v>
      </c>
      <c r="F69" s="4">
        <v>0</v>
      </c>
      <c r="G69" s="4">
        <v>0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  <c r="M69" s="4">
        <f t="shared" si="2"/>
        <v>94.67</v>
      </c>
      <c r="N69" t="str">
        <f t="shared" si="3"/>
        <v>Alto</v>
      </c>
    </row>
    <row r="70" spans="1:14" x14ac:dyDescent="0.3">
      <c r="A70" s="4">
        <v>46</v>
      </c>
      <c r="B70" s="4">
        <v>33.67</v>
      </c>
      <c r="C70" s="4">
        <v>175</v>
      </c>
      <c r="D70" s="4">
        <v>114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f t="shared" si="2"/>
        <v>134.33000000000001</v>
      </c>
      <c r="N70" t="str">
        <f t="shared" si="3"/>
        <v>Hospitalización urgente</v>
      </c>
    </row>
    <row r="71" spans="1:14" x14ac:dyDescent="0.3">
      <c r="A71" s="4">
        <v>39</v>
      </c>
      <c r="B71" s="4">
        <v>21.41</v>
      </c>
      <c r="C71" s="4">
        <v>114</v>
      </c>
      <c r="D71" s="4">
        <v>80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f t="shared" si="2"/>
        <v>91.33</v>
      </c>
      <c r="N71" t="str">
        <f t="shared" si="3"/>
        <v>Ninguno</v>
      </c>
    </row>
    <row r="72" spans="1:14" x14ac:dyDescent="0.3">
      <c r="A72" s="4">
        <v>47</v>
      </c>
      <c r="B72" s="4">
        <v>41.48</v>
      </c>
      <c r="C72" s="4">
        <v>186</v>
      </c>
      <c r="D72" s="4">
        <v>136</v>
      </c>
      <c r="E72" s="4">
        <v>0</v>
      </c>
      <c r="F72" s="4">
        <v>1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f t="shared" si="2"/>
        <v>152.66999999999999</v>
      </c>
      <c r="N72" t="str">
        <f t="shared" si="3"/>
        <v>Hospitalización urgente</v>
      </c>
    </row>
    <row r="73" spans="1:14" x14ac:dyDescent="0.3">
      <c r="A73" s="4">
        <v>46</v>
      </c>
      <c r="B73" s="4">
        <v>37.61</v>
      </c>
      <c r="C73" s="4">
        <v>137</v>
      </c>
      <c r="D73" s="4">
        <v>97</v>
      </c>
      <c r="E73" s="4">
        <v>0</v>
      </c>
      <c r="F73" s="4">
        <v>0</v>
      </c>
      <c r="G73" s="4">
        <v>1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f t="shared" si="2"/>
        <v>110.33</v>
      </c>
      <c r="N73" t="str">
        <f t="shared" si="3"/>
        <v>Medio</v>
      </c>
    </row>
    <row r="74" spans="1:14" x14ac:dyDescent="0.3">
      <c r="A74" s="4">
        <v>38</v>
      </c>
      <c r="B74" s="4">
        <v>27.33</v>
      </c>
      <c r="C74" s="4">
        <v>112</v>
      </c>
      <c r="D74" s="4">
        <v>51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f t="shared" si="2"/>
        <v>71.33</v>
      </c>
      <c r="N74" t="str">
        <f t="shared" si="3"/>
        <v>Ninguno</v>
      </c>
    </row>
    <row r="75" spans="1:14" x14ac:dyDescent="0.3">
      <c r="A75" s="4">
        <v>37</v>
      </c>
      <c r="B75" s="4">
        <v>28.88</v>
      </c>
      <c r="C75" s="4">
        <v>115</v>
      </c>
      <c r="D75" s="4">
        <v>69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f t="shared" si="2"/>
        <v>84.33</v>
      </c>
      <c r="N75" t="str">
        <f t="shared" si="3"/>
        <v>Ninguno</v>
      </c>
    </row>
    <row r="76" spans="1:14" x14ac:dyDescent="0.3">
      <c r="A76" s="4">
        <v>35</v>
      </c>
      <c r="B76" s="4">
        <v>43.97</v>
      </c>
      <c r="C76" s="4">
        <v>187</v>
      </c>
      <c r="D76" s="4">
        <v>123</v>
      </c>
      <c r="E76" s="4">
        <v>0</v>
      </c>
      <c r="F76" s="4">
        <v>1</v>
      </c>
      <c r="G76" s="4">
        <v>0</v>
      </c>
      <c r="H76" s="4">
        <v>1</v>
      </c>
      <c r="I76" s="4">
        <v>0</v>
      </c>
      <c r="J76" s="4">
        <v>0</v>
      </c>
      <c r="K76" s="4">
        <v>1</v>
      </c>
      <c r="L76" s="4">
        <v>0</v>
      </c>
      <c r="M76" s="4">
        <f t="shared" si="2"/>
        <v>144.33000000000001</v>
      </c>
      <c r="N76" t="str">
        <f t="shared" si="3"/>
        <v>Hospitalización urgente</v>
      </c>
    </row>
    <row r="77" spans="1:14" x14ac:dyDescent="0.3">
      <c r="A77" s="4">
        <v>28</v>
      </c>
      <c r="B77" s="4">
        <v>37.4</v>
      </c>
      <c r="C77" s="4">
        <v>106</v>
      </c>
      <c r="D77" s="4">
        <v>80</v>
      </c>
      <c r="E77" s="4">
        <v>1</v>
      </c>
      <c r="F77" s="4">
        <v>0</v>
      </c>
      <c r="G77" s="4">
        <v>1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f t="shared" si="2"/>
        <v>88.67</v>
      </c>
      <c r="N77" t="str">
        <f t="shared" si="3"/>
        <v>Alto</v>
      </c>
    </row>
    <row r="78" spans="1:14" x14ac:dyDescent="0.3">
      <c r="A78" s="4">
        <v>44</v>
      </c>
      <c r="B78" s="4">
        <v>24.98</v>
      </c>
      <c r="C78" s="4">
        <v>142</v>
      </c>
      <c r="D78" s="4">
        <v>91</v>
      </c>
      <c r="E78" s="4">
        <v>1</v>
      </c>
      <c r="F78" s="4">
        <v>0</v>
      </c>
      <c r="G78" s="4">
        <v>1</v>
      </c>
      <c r="H78" s="4">
        <v>0</v>
      </c>
      <c r="I78" s="4">
        <v>0</v>
      </c>
      <c r="J78" s="4">
        <v>1</v>
      </c>
      <c r="K78" s="4">
        <v>0</v>
      </c>
      <c r="L78" s="4">
        <v>0</v>
      </c>
      <c r="M78" s="4">
        <f t="shared" si="2"/>
        <v>108</v>
      </c>
      <c r="N78" t="str">
        <f t="shared" si="3"/>
        <v>Alto</v>
      </c>
    </row>
    <row r="79" spans="1:14" x14ac:dyDescent="0.3">
      <c r="A79" s="4">
        <v>51</v>
      </c>
      <c r="B79" s="4">
        <v>43.78</v>
      </c>
      <c r="C79" s="4">
        <v>192</v>
      </c>
      <c r="D79" s="4">
        <v>135</v>
      </c>
      <c r="E79" s="4">
        <v>1</v>
      </c>
      <c r="F79" s="4">
        <v>0</v>
      </c>
      <c r="G79" s="4">
        <v>0</v>
      </c>
      <c r="H79" s="4">
        <v>1</v>
      </c>
      <c r="I79" s="4">
        <v>1</v>
      </c>
      <c r="J79" s="4">
        <v>0</v>
      </c>
      <c r="K79" s="4">
        <v>0</v>
      </c>
      <c r="L79" s="4">
        <v>0</v>
      </c>
      <c r="M79" s="4">
        <f t="shared" si="2"/>
        <v>154</v>
      </c>
      <c r="N79" t="str">
        <f t="shared" si="3"/>
        <v>Hospitalización urgente</v>
      </c>
    </row>
    <row r="80" spans="1:14" x14ac:dyDescent="0.3">
      <c r="A80" s="4">
        <v>30</v>
      </c>
      <c r="B80" s="4">
        <v>37.9</v>
      </c>
      <c r="C80" s="4">
        <v>147</v>
      </c>
      <c r="D80" s="4">
        <v>88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f t="shared" si="2"/>
        <v>107.67</v>
      </c>
      <c r="N80" t="str">
        <f t="shared" si="3"/>
        <v>Medio</v>
      </c>
    </row>
    <row r="81" spans="1:14" x14ac:dyDescent="0.3">
      <c r="A81" s="4">
        <v>46</v>
      </c>
      <c r="B81" s="4">
        <v>23.98</v>
      </c>
      <c r="C81" s="4">
        <v>165</v>
      </c>
      <c r="D81" s="4">
        <v>107</v>
      </c>
      <c r="E81" s="4">
        <v>1</v>
      </c>
      <c r="F81" s="4">
        <v>0</v>
      </c>
      <c r="G81" s="4">
        <v>0</v>
      </c>
      <c r="H81" s="4">
        <v>0</v>
      </c>
      <c r="I81" s="4">
        <v>0</v>
      </c>
      <c r="J81" s="4">
        <v>1</v>
      </c>
      <c r="K81" s="4">
        <v>1</v>
      </c>
      <c r="L81" s="4">
        <v>0</v>
      </c>
      <c r="M81" s="4">
        <f t="shared" si="2"/>
        <v>126.33</v>
      </c>
      <c r="N81" t="str">
        <f t="shared" si="3"/>
        <v>Hospitalización urgente</v>
      </c>
    </row>
    <row r="82" spans="1:14" x14ac:dyDescent="0.3">
      <c r="A82" s="4">
        <v>31</v>
      </c>
      <c r="B82" s="4">
        <v>21.3</v>
      </c>
      <c r="C82" s="4">
        <v>108</v>
      </c>
      <c r="D82" s="4">
        <v>62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f t="shared" si="2"/>
        <v>77.33</v>
      </c>
      <c r="N82" t="str">
        <f t="shared" si="3"/>
        <v>Ninguno</v>
      </c>
    </row>
    <row r="83" spans="1:14" x14ac:dyDescent="0.3">
      <c r="A83" s="4">
        <v>25</v>
      </c>
      <c r="B83" s="4">
        <v>25.6</v>
      </c>
      <c r="C83" s="4">
        <v>98</v>
      </c>
      <c r="D83" s="4">
        <v>79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f t="shared" si="2"/>
        <v>85.33</v>
      </c>
      <c r="N83" t="str">
        <f t="shared" si="3"/>
        <v>Ninguno</v>
      </c>
    </row>
    <row r="84" spans="1:14" x14ac:dyDescent="0.3">
      <c r="A84" s="4">
        <v>42</v>
      </c>
      <c r="B84" s="4">
        <v>23.77</v>
      </c>
      <c r="C84" s="4">
        <v>112</v>
      </c>
      <c r="D84" s="4">
        <v>96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0</v>
      </c>
      <c r="K84" s="4">
        <v>0</v>
      </c>
      <c r="L84" s="4">
        <v>1</v>
      </c>
      <c r="M84" s="4">
        <f t="shared" si="2"/>
        <v>101.33</v>
      </c>
      <c r="N84" t="str">
        <f t="shared" si="3"/>
        <v>Alto</v>
      </c>
    </row>
    <row r="85" spans="1:14" x14ac:dyDescent="0.3">
      <c r="A85" s="4">
        <v>43</v>
      </c>
      <c r="B85" s="4">
        <v>27.3</v>
      </c>
      <c r="C85" s="4">
        <v>119</v>
      </c>
      <c r="D85" s="4">
        <v>90</v>
      </c>
      <c r="E85" s="4">
        <v>1</v>
      </c>
      <c r="F85" s="4">
        <v>0</v>
      </c>
      <c r="G85" s="4">
        <v>0</v>
      </c>
      <c r="H85" s="4">
        <v>1</v>
      </c>
      <c r="I85" s="4">
        <v>0</v>
      </c>
      <c r="J85" s="4">
        <v>0</v>
      </c>
      <c r="K85" s="4">
        <v>0</v>
      </c>
      <c r="L85" s="4">
        <v>0</v>
      </c>
      <c r="M85" s="4">
        <f t="shared" si="2"/>
        <v>99.67</v>
      </c>
      <c r="N85" t="str">
        <f t="shared" si="3"/>
        <v>Alto</v>
      </c>
    </row>
    <row r="86" spans="1:14" x14ac:dyDescent="0.3">
      <c r="A86" s="4">
        <v>46</v>
      </c>
      <c r="B86" s="4">
        <v>30.43</v>
      </c>
      <c r="C86" s="4">
        <v>128</v>
      </c>
      <c r="D86" s="4">
        <v>65</v>
      </c>
      <c r="E86" s="4">
        <v>0</v>
      </c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f t="shared" si="2"/>
        <v>86</v>
      </c>
      <c r="N86" t="str">
        <f t="shared" si="3"/>
        <v>Alto</v>
      </c>
    </row>
    <row r="87" spans="1:14" x14ac:dyDescent="0.3">
      <c r="A87" s="4">
        <v>26</v>
      </c>
      <c r="B87" s="4">
        <v>22.05</v>
      </c>
      <c r="C87" s="4">
        <v>108</v>
      </c>
      <c r="D87" s="4">
        <v>55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f t="shared" si="2"/>
        <v>72.67</v>
      </c>
      <c r="N87" t="str">
        <f t="shared" si="3"/>
        <v>Ninguno</v>
      </c>
    </row>
    <row r="88" spans="1:14" x14ac:dyDescent="0.3">
      <c r="A88" s="4">
        <v>47</v>
      </c>
      <c r="B88" s="4">
        <v>37.36</v>
      </c>
      <c r="C88" s="4">
        <v>105</v>
      </c>
      <c r="D88" s="4">
        <v>112</v>
      </c>
      <c r="E88" s="4">
        <v>0</v>
      </c>
      <c r="F88" s="4">
        <v>1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f t="shared" si="2"/>
        <v>107.33</v>
      </c>
      <c r="N88" t="str">
        <f t="shared" si="3"/>
        <v>Alto</v>
      </c>
    </row>
    <row r="89" spans="1:14" x14ac:dyDescent="0.3">
      <c r="A89" s="4">
        <v>20</v>
      </c>
      <c r="B89" s="4">
        <v>39.46</v>
      </c>
      <c r="C89" s="4">
        <v>165</v>
      </c>
      <c r="D89" s="4">
        <v>137</v>
      </c>
      <c r="E89" s="4">
        <v>0</v>
      </c>
      <c r="F89" s="4">
        <v>0</v>
      </c>
      <c r="G89" s="4">
        <v>0</v>
      </c>
      <c r="H89" s="4">
        <v>1</v>
      </c>
      <c r="I89" s="4">
        <v>1</v>
      </c>
      <c r="J89" s="4">
        <v>1</v>
      </c>
      <c r="K89" s="4">
        <v>0</v>
      </c>
      <c r="L89" s="4">
        <v>0</v>
      </c>
      <c r="M89" s="4">
        <f t="shared" si="2"/>
        <v>146.33000000000001</v>
      </c>
      <c r="N89" t="str">
        <f t="shared" si="3"/>
        <v>Hospitalización urgente</v>
      </c>
    </row>
    <row r="90" spans="1:14" x14ac:dyDescent="0.3">
      <c r="A90" s="4">
        <v>51</v>
      </c>
      <c r="B90" s="4">
        <v>26.54</v>
      </c>
      <c r="C90" s="4">
        <v>131</v>
      </c>
      <c r="D90" s="4">
        <v>87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f t="shared" si="2"/>
        <v>101.67</v>
      </c>
      <c r="N90" t="str">
        <f t="shared" si="3"/>
        <v>Medio</v>
      </c>
    </row>
    <row r="91" spans="1:14" x14ac:dyDescent="0.3">
      <c r="A91" s="4">
        <v>28</v>
      </c>
      <c r="B91" s="4">
        <v>23.51</v>
      </c>
      <c r="C91" s="4">
        <v>109</v>
      </c>
      <c r="D91" s="4">
        <v>85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f t="shared" si="2"/>
        <v>93</v>
      </c>
      <c r="N91" t="str">
        <f t="shared" si="3"/>
        <v>Ninguno</v>
      </c>
    </row>
    <row r="92" spans="1:14" x14ac:dyDescent="0.3">
      <c r="A92" s="4">
        <v>37</v>
      </c>
      <c r="B92" s="4">
        <v>35.659999999999997</v>
      </c>
      <c r="C92" s="4">
        <v>151</v>
      </c>
      <c r="D92" s="4">
        <v>105</v>
      </c>
      <c r="E92" s="4">
        <v>0</v>
      </c>
      <c r="F92" s="4">
        <v>1</v>
      </c>
      <c r="G92" s="4">
        <v>0</v>
      </c>
      <c r="H92" s="4">
        <v>1</v>
      </c>
      <c r="I92" s="4">
        <v>1</v>
      </c>
      <c r="J92" s="4">
        <v>0</v>
      </c>
      <c r="K92" s="4">
        <v>1</v>
      </c>
      <c r="L92" s="4">
        <v>0</v>
      </c>
      <c r="M92" s="4">
        <f t="shared" si="2"/>
        <v>120.33</v>
      </c>
      <c r="N92" t="str">
        <f t="shared" si="3"/>
        <v>Alto</v>
      </c>
    </row>
    <row r="93" spans="1:14" x14ac:dyDescent="0.3">
      <c r="A93" s="4">
        <v>44</v>
      </c>
      <c r="B93" s="4">
        <v>31.75</v>
      </c>
      <c r="C93" s="4">
        <v>170</v>
      </c>
      <c r="D93" s="4">
        <v>139</v>
      </c>
      <c r="E93" s="4">
        <v>1</v>
      </c>
      <c r="F93" s="4">
        <v>0</v>
      </c>
      <c r="G93" s="4">
        <v>0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f t="shared" si="2"/>
        <v>149.33000000000001</v>
      </c>
      <c r="N93" t="str">
        <f t="shared" si="3"/>
        <v>Hospitalización urgente</v>
      </c>
    </row>
    <row r="94" spans="1:14" x14ac:dyDescent="0.3">
      <c r="A94" s="4">
        <v>55</v>
      </c>
      <c r="B94" s="4">
        <v>26.28</v>
      </c>
      <c r="C94" s="4">
        <v>142</v>
      </c>
      <c r="D94" s="4">
        <v>60</v>
      </c>
      <c r="E94" s="4">
        <v>0</v>
      </c>
      <c r="F94" s="4">
        <v>0</v>
      </c>
      <c r="G94" s="4">
        <v>1</v>
      </c>
      <c r="H94" s="4">
        <v>1</v>
      </c>
      <c r="I94" s="4">
        <v>0</v>
      </c>
      <c r="J94" s="4">
        <v>0</v>
      </c>
      <c r="K94" s="4">
        <v>0</v>
      </c>
      <c r="L94" s="4">
        <v>0</v>
      </c>
      <c r="M94" s="4">
        <f t="shared" si="2"/>
        <v>87.33</v>
      </c>
      <c r="N94" t="str">
        <f t="shared" si="3"/>
        <v>Medio</v>
      </c>
    </row>
    <row r="95" spans="1:14" x14ac:dyDescent="0.3">
      <c r="A95" s="4">
        <v>44</v>
      </c>
      <c r="B95" s="4">
        <v>36.14</v>
      </c>
      <c r="C95" s="4">
        <v>95</v>
      </c>
      <c r="D95" s="4">
        <v>109</v>
      </c>
      <c r="E95" s="4">
        <v>1</v>
      </c>
      <c r="F95" s="4">
        <v>1</v>
      </c>
      <c r="G95" s="4">
        <v>0</v>
      </c>
      <c r="H95" s="4">
        <v>0</v>
      </c>
      <c r="I95" s="4">
        <v>1</v>
      </c>
      <c r="J95" s="4">
        <v>0</v>
      </c>
      <c r="K95" s="4">
        <v>0</v>
      </c>
      <c r="L95" s="4">
        <v>0</v>
      </c>
      <c r="M95" s="4">
        <f t="shared" si="2"/>
        <v>99.67</v>
      </c>
      <c r="N95" t="str">
        <f t="shared" si="3"/>
        <v>Alto</v>
      </c>
    </row>
    <row r="96" spans="1:14" x14ac:dyDescent="0.3">
      <c r="A96" s="4">
        <v>25</v>
      </c>
      <c r="B96" s="4">
        <v>33.22</v>
      </c>
      <c r="C96" s="4">
        <v>146</v>
      </c>
      <c r="D96" s="4">
        <v>99</v>
      </c>
      <c r="E96" s="4">
        <v>0</v>
      </c>
      <c r="F96" s="4">
        <v>0</v>
      </c>
      <c r="G96" s="4">
        <v>1</v>
      </c>
      <c r="H96" s="4">
        <v>1</v>
      </c>
      <c r="I96" s="4">
        <v>0</v>
      </c>
      <c r="J96" s="4">
        <v>0</v>
      </c>
      <c r="K96" s="4">
        <v>0</v>
      </c>
      <c r="L96" s="4">
        <v>0</v>
      </c>
      <c r="M96" s="4">
        <f t="shared" si="2"/>
        <v>114.67</v>
      </c>
      <c r="N96" t="str">
        <f t="shared" si="3"/>
        <v>Medio</v>
      </c>
    </row>
    <row r="97" spans="1:14" x14ac:dyDescent="0.3">
      <c r="A97" s="4">
        <v>18</v>
      </c>
      <c r="B97" s="4">
        <v>33.29</v>
      </c>
      <c r="C97" s="4">
        <v>193</v>
      </c>
      <c r="D97" s="4">
        <v>132</v>
      </c>
      <c r="E97" s="4">
        <v>1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f t="shared" si="2"/>
        <v>152.33000000000001</v>
      </c>
      <c r="N97" t="str">
        <f t="shared" si="3"/>
        <v>Hospitalización urgente</v>
      </c>
    </row>
    <row r="98" spans="1:14" x14ac:dyDescent="0.3">
      <c r="A98" s="4">
        <v>31</v>
      </c>
      <c r="B98" s="4">
        <v>36.78</v>
      </c>
      <c r="C98" s="4">
        <v>198</v>
      </c>
      <c r="D98" s="4">
        <v>140</v>
      </c>
      <c r="E98" s="4">
        <v>1</v>
      </c>
      <c r="F98" s="4">
        <v>0</v>
      </c>
      <c r="G98" s="4">
        <v>1</v>
      </c>
      <c r="H98" s="4">
        <v>1</v>
      </c>
      <c r="I98" s="4">
        <v>0</v>
      </c>
      <c r="J98" s="4">
        <v>0</v>
      </c>
      <c r="K98" s="4">
        <v>0</v>
      </c>
      <c r="L98" s="4">
        <v>0</v>
      </c>
      <c r="M98" s="4">
        <f t="shared" si="2"/>
        <v>159.33000000000001</v>
      </c>
      <c r="N98" t="str">
        <f t="shared" si="3"/>
        <v>Hospitalización urgente</v>
      </c>
    </row>
    <row r="99" spans="1:14" x14ac:dyDescent="0.3">
      <c r="A99" s="4">
        <v>54</v>
      </c>
      <c r="B99" s="4">
        <v>37.090000000000003</v>
      </c>
      <c r="C99" s="4">
        <v>177</v>
      </c>
      <c r="D99" s="4">
        <v>121</v>
      </c>
      <c r="E99" s="4">
        <v>1</v>
      </c>
      <c r="F99" s="4">
        <v>1</v>
      </c>
      <c r="G99" s="4">
        <v>1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f t="shared" si="2"/>
        <v>139.66999999999999</v>
      </c>
      <c r="N99" t="str">
        <f t="shared" si="3"/>
        <v>Hospitalización urgente</v>
      </c>
    </row>
    <row r="100" spans="1:14" x14ac:dyDescent="0.3">
      <c r="A100" s="4">
        <v>37</v>
      </c>
      <c r="B100" s="4">
        <v>26.51</v>
      </c>
      <c r="C100" s="4">
        <v>163</v>
      </c>
      <c r="D100" s="4">
        <v>63</v>
      </c>
      <c r="E100" s="4">
        <v>1</v>
      </c>
      <c r="F100" s="4">
        <v>0</v>
      </c>
      <c r="G100" s="4">
        <v>0</v>
      </c>
      <c r="H100" s="4">
        <v>0</v>
      </c>
      <c r="I100" s="4">
        <v>1</v>
      </c>
      <c r="J100" s="4">
        <v>0</v>
      </c>
      <c r="K100" s="4">
        <v>0</v>
      </c>
      <c r="L100" s="4">
        <v>0</v>
      </c>
      <c r="M100" s="4">
        <f t="shared" si="2"/>
        <v>96.33</v>
      </c>
      <c r="N100" t="str">
        <f t="shared" si="3"/>
        <v>Hospitalización urgente</v>
      </c>
    </row>
    <row r="101" spans="1:14" x14ac:dyDescent="0.3">
      <c r="A101" s="4">
        <v>24</v>
      </c>
      <c r="B101" s="4">
        <v>24.9</v>
      </c>
      <c r="C101" s="4">
        <v>113</v>
      </c>
      <c r="D101" s="4">
        <v>63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f t="shared" si="2"/>
        <v>79.67</v>
      </c>
      <c r="N101" t="str">
        <f t="shared" si="3"/>
        <v>Ninguno</v>
      </c>
    </row>
    <row r="102" spans="1:14" x14ac:dyDescent="0.3">
      <c r="A102" s="4">
        <v>24</v>
      </c>
      <c r="B102" s="4">
        <v>22.01</v>
      </c>
      <c r="C102" s="4">
        <v>134</v>
      </c>
      <c r="D102" s="4">
        <v>82</v>
      </c>
      <c r="E102" s="4">
        <v>1</v>
      </c>
      <c r="F102" s="4">
        <v>0</v>
      </c>
      <c r="G102" s="4">
        <v>1</v>
      </c>
      <c r="H102" s="4">
        <v>1</v>
      </c>
      <c r="I102" s="4">
        <v>0</v>
      </c>
      <c r="J102" s="4">
        <v>0</v>
      </c>
      <c r="K102" s="4">
        <v>0</v>
      </c>
      <c r="L102" s="4">
        <v>0</v>
      </c>
      <c r="M102" s="4">
        <f t="shared" si="2"/>
        <v>99.33</v>
      </c>
      <c r="N102" t="str">
        <f t="shared" si="3"/>
        <v>Alto</v>
      </c>
    </row>
    <row r="103" spans="1:14" x14ac:dyDescent="0.3">
      <c r="A103" s="4">
        <v>45</v>
      </c>
      <c r="B103" s="4">
        <v>37.090000000000003</v>
      </c>
      <c r="C103" s="4">
        <v>123</v>
      </c>
      <c r="D103" s="4">
        <v>100</v>
      </c>
      <c r="E103" s="4">
        <v>0</v>
      </c>
      <c r="F103" s="4">
        <v>0</v>
      </c>
      <c r="G103" s="4">
        <v>1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f t="shared" si="2"/>
        <v>107.67</v>
      </c>
      <c r="N103" t="str">
        <f t="shared" si="3"/>
        <v>Medio</v>
      </c>
    </row>
    <row r="104" spans="1:14" x14ac:dyDescent="0.3">
      <c r="A104" s="4">
        <v>29</v>
      </c>
      <c r="B104" s="4">
        <v>20.149999999999999</v>
      </c>
      <c r="C104" s="4">
        <v>116</v>
      </c>
      <c r="D104" s="4">
        <v>55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f t="shared" si="2"/>
        <v>75.33</v>
      </c>
      <c r="N104" t="str">
        <f t="shared" si="3"/>
        <v>Ninguno</v>
      </c>
    </row>
    <row r="105" spans="1:14" x14ac:dyDescent="0.3">
      <c r="A105" s="4">
        <v>23</v>
      </c>
      <c r="B105" s="4">
        <v>19.64</v>
      </c>
      <c r="C105" s="4">
        <v>92</v>
      </c>
      <c r="D105" s="4">
        <v>71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f t="shared" si="2"/>
        <v>78</v>
      </c>
      <c r="N105" t="str">
        <f t="shared" si="3"/>
        <v>Ninguno</v>
      </c>
    </row>
    <row r="106" spans="1:14" x14ac:dyDescent="0.3">
      <c r="A106" s="4">
        <v>53</v>
      </c>
      <c r="B106" s="4">
        <v>34.869999999999997</v>
      </c>
      <c r="C106" s="4">
        <v>122</v>
      </c>
      <c r="D106" s="4">
        <v>63</v>
      </c>
      <c r="E106" s="4">
        <v>0</v>
      </c>
      <c r="F106" s="4">
        <v>0</v>
      </c>
      <c r="G106" s="4">
        <v>1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f t="shared" si="2"/>
        <v>82.67</v>
      </c>
      <c r="N106" t="str">
        <f t="shared" si="3"/>
        <v>Medio</v>
      </c>
    </row>
    <row r="107" spans="1:14" x14ac:dyDescent="0.3">
      <c r="A107" s="4">
        <v>37</v>
      </c>
      <c r="B107" s="4">
        <v>25.61</v>
      </c>
      <c r="C107" s="4">
        <v>114</v>
      </c>
      <c r="D107" s="4">
        <v>72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f t="shared" si="2"/>
        <v>86</v>
      </c>
      <c r="N107" t="str">
        <f t="shared" si="3"/>
        <v>Ninguno</v>
      </c>
    </row>
    <row r="108" spans="1:14" x14ac:dyDescent="0.3">
      <c r="A108" s="4">
        <v>26</v>
      </c>
      <c r="B108" s="4">
        <v>23.03</v>
      </c>
      <c r="C108" s="4">
        <v>119</v>
      </c>
      <c r="D108" s="4">
        <v>78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f t="shared" si="2"/>
        <v>91.67</v>
      </c>
      <c r="N108" t="str">
        <f t="shared" si="3"/>
        <v>Ninguno</v>
      </c>
    </row>
    <row r="109" spans="1:14" x14ac:dyDescent="0.3">
      <c r="A109" s="4">
        <v>30</v>
      </c>
      <c r="B109" s="4">
        <v>35.18</v>
      </c>
      <c r="C109" s="4">
        <v>130</v>
      </c>
      <c r="D109" s="4">
        <v>104</v>
      </c>
      <c r="E109" s="4">
        <v>0</v>
      </c>
      <c r="F109" s="4">
        <v>0</v>
      </c>
      <c r="G109" s="4">
        <v>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f t="shared" si="2"/>
        <v>112.67</v>
      </c>
      <c r="N109" t="str">
        <f t="shared" si="3"/>
        <v>Medio</v>
      </c>
    </row>
    <row r="110" spans="1:14" x14ac:dyDescent="0.3">
      <c r="A110" s="4">
        <v>27</v>
      </c>
      <c r="B110" s="4">
        <v>38.380000000000003</v>
      </c>
      <c r="C110" s="4">
        <v>167</v>
      </c>
      <c r="D110" s="4">
        <v>117</v>
      </c>
      <c r="E110" s="4">
        <v>0</v>
      </c>
      <c r="F110" s="4">
        <v>0</v>
      </c>
      <c r="G110" s="4">
        <v>0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  <c r="M110" s="4">
        <f t="shared" si="2"/>
        <v>133.66999999999999</v>
      </c>
      <c r="N110" t="str">
        <f t="shared" si="3"/>
        <v>Hospitalización urgente</v>
      </c>
    </row>
    <row r="111" spans="1:14" x14ac:dyDescent="0.3">
      <c r="A111" s="4">
        <v>37</v>
      </c>
      <c r="B111" s="4">
        <v>37.61</v>
      </c>
      <c r="C111" s="4">
        <v>195</v>
      </c>
      <c r="D111" s="4">
        <v>121</v>
      </c>
      <c r="E111" s="4">
        <v>1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</v>
      </c>
      <c r="M111" s="4">
        <f t="shared" si="2"/>
        <v>145.66999999999999</v>
      </c>
      <c r="N111" t="str">
        <f t="shared" si="3"/>
        <v>Hospitalización urgente</v>
      </c>
    </row>
    <row r="112" spans="1:14" x14ac:dyDescent="0.3">
      <c r="A112" s="4">
        <v>44</v>
      </c>
      <c r="B112" s="4">
        <v>36.479999999999997</v>
      </c>
      <c r="C112" s="4">
        <v>106</v>
      </c>
      <c r="D112" s="4">
        <v>99</v>
      </c>
      <c r="E112" s="4">
        <v>0</v>
      </c>
      <c r="F112" s="4">
        <v>0</v>
      </c>
      <c r="G112" s="4">
        <v>1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f t="shared" si="2"/>
        <v>101.33</v>
      </c>
      <c r="N112" t="str">
        <f t="shared" si="3"/>
        <v>Medio</v>
      </c>
    </row>
    <row r="113" spans="1:14" x14ac:dyDescent="0.3">
      <c r="A113" s="4">
        <v>54</v>
      </c>
      <c r="B113" s="4">
        <v>34.33</v>
      </c>
      <c r="C113" s="4">
        <v>183</v>
      </c>
      <c r="D113" s="4">
        <v>114</v>
      </c>
      <c r="E113" s="4">
        <v>1</v>
      </c>
      <c r="F113" s="4">
        <v>1</v>
      </c>
      <c r="G113" s="4">
        <v>1</v>
      </c>
      <c r="H113" s="4">
        <v>1</v>
      </c>
      <c r="I113" s="4">
        <v>1</v>
      </c>
      <c r="J113" s="4">
        <v>0</v>
      </c>
      <c r="K113" s="4">
        <v>0</v>
      </c>
      <c r="L113" s="4">
        <v>0</v>
      </c>
      <c r="M113" s="4">
        <f t="shared" si="2"/>
        <v>137</v>
      </c>
      <c r="N113" t="str">
        <f t="shared" si="3"/>
        <v>Hospitalización urgente</v>
      </c>
    </row>
    <row r="114" spans="1:14" x14ac:dyDescent="0.3">
      <c r="A114" s="4">
        <v>47</v>
      </c>
      <c r="B114" s="4">
        <v>21.22</v>
      </c>
      <c r="C114" s="4">
        <v>134</v>
      </c>
      <c r="D114" s="4">
        <v>71</v>
      </c>
      <c r="E114" s="4">
        <v>1</v>
      </c>
      <c r="F114" s="4">
        <v>0</v>
      </c>
      <c r="G114" s="4">
        <v>0</v>
      </c>
      <c r="H114" s="4">
        <v>1</v>
      </c>
      <c r="I114" s="4">
        <v>0</v>
      </c>
      <c r="J114" s="4">
        <v>0</v>
      </c>
      <c r="K114" s="4">
        <v>0</v>
      </c>
      <c r="L114" s="4">
        <v>1</v>
      </c>
      <c r="M114" s="4">
        <f t="shared" si="2"/>
        <v>92</v>
      </c>
      <c r="N114" t="str">
        <f t="shared" si="3"/>
        <v>Alto</v>
      </c>
    </row>
    <row r="115" spans="1:14" x14ac:dyDescent="0.3">
      <c r="A115" s="4">
        <v>43</v>
      </c>
      <c r="B115" s="4">
        <v>41.83</v>
      </c>
      <c r="C115" s="4">
        <v>211</v>
      </c>
      <c r="D115" s="4">
        <v>133</v>
      </c>
      <c r="E115" s="4">
        <v>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f t="shared" si="2"/>
        <v>159</v>
      </c>
      <c r="N115" t="str">
        <f t="shared" si="3"/>
        <v>Hospitalización urgente</v>
      </c>
    </row>
    <row r="116" spans="1:14" x14ac:dyDescent="0.3">
      <c r="A116" s="4">
        <v>46</v>
      </c>
      <c r="B116" s="4">
        <v>36.28</v>
      </c>
      <c r="C116" s="4">
        <v>115</v>
      </c>
      <c r="D116" s="4">
        <v>69</v>
      </c>
      <c r="E116" s="4">
        <v>1</v>
      </c>
      <c r="F116" s="4">
        <v>0</v>
      </c>
      <c r="G116" s="4">
        <v>1</v>
      </c>
      <c r="H116" s="4">
        <v>0</v>
      </c>
      <c r="I116" s="4">
        <v>0</v>
      </c>
      <c r="J116" s="4">
        <v>1</v>
      </c>
      <c r="K116" s="4">
        <v>0</v>
      </c>
      <c r="L116" s="4">
        <v>0</v>
      </c>
      <c r="M116" s="4">
        <f t="shared" si="2"/>
        <v>84.33</v>
      </c>
      <c r="N116" t="str">
        <f t="shared" si="3"/>
        <v>Alto</v>
      </c>
    </row>
    <row r="117" spans="1:14" x14ac:dyDescent="0.3">
      <c r="A117" s="4">
        <v>37</v>
      </c>
      <c r="B117" s="4">
        <v>21.46</v>
      </c>
      <c r="C117" s="4">
        <v>107</v>
      </c>
      <c r="D117" s="4">
        <v>75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f t="shared" si="2"/>
        <v>85.67</v>
      </c>
      <c r="N117" t="str">
        <f t="shared" si="3"/>
        <v>Ninguno</v>
      </c>
    </row>
    <row r="118" spans="1:14" x14ac:dyDescent="0.3">
      <c r="A118" s="4">
        <v>36</v>
      </c>
      <c r="B118" s="4">
        <v>26.65</v>
      </c>
      <c r="C118" s="4">
        <v>107</v>
      </c>
      <c r="D118" s="4">
        <v>80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1</v>
      </c>
      <c r="M118" s="4">
        <f t="shared" si="2"/>
        <v>89</v>
      </c>
      <c r="N118" t="str">
        <f t="shared" si="3"/>
        <v>Medio</v>
      </c>
    </row>
    <row r="119" spans="1:14" x14ac:dyDescent="0.3">
      <c r="A119" s="4">
        <v>28</v>
      </c>
      <c r="B119" s="4">
        <v>31.24</v>
      </c>
      <c r="C119" s="4">
        <v>102</v>
      </c>
      <c r="D119" s="4">
        <v>82</v>
      </c>
      <c r="E119" s="4">
        <v>1</v>
      </c>
      <c r="F119" s="4">
        <v>1</v>
      </c>
      <c r="G119" s="4">
        <v>1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f t="shared" si="2"/>
        <v>88.67</v>
      </c>
      <c r="N119" t="str">
        <f t="shared" si="3"/>
        <v>Alto</v>
      </c>
    </row>
    <row r="120" spans="1:14" x14ac:dyDescent="0.3">
      <c r="A120" s="4">
        <v>31</v>
      </c>
      <c r="B120" s="4">
        <v>32.659999999999997</v>
      </c>
      <c r="C120" s="4">
        <v>166</v>
      </c>
      <c r="D120" s="4">
        <v>134</v>
      </c>
      <c r="E120" s="4">
        <v>1</v>
      </c>
      <c r="F120" s="4">
        <v>0</v>
      </c>
      <c r="G120" s="4">
        <v>1</v>
      </c>
      <c r="H120" s="4">
        <v>1</v>
      </c>
      <c r="I120" s="4">
        <v>1</v>
      </c>
      <c r="J120" s="4">
        <v>0</v>
      </c>
      <c r="K120" s="4">
        <v>0</v>
      </c>
      <c r="L120" s="4">
        <v>1</v>
      </c>
      <c r="M120" s="4">
        <f t="shared" si="2"/>
        <v>144.66999999999999</v>
      </c>
      <c r="N120" t="str">
        <f t="shared" si="3"/>
        <v>Hospitalización urgente</v>
      </c>
    </row>
    <row r="121" spans="1:14" x14ac:dyDescent="0.3">
      <c r="A121" s="4">
        <v>27</v>
      </c>
      <c r="B121" s="4">
        <v>20.12</v>
      </c>
      <c r="C121" s="4">
        <v>142</v>
      </c>
      <c r="D121" s="4">
        <v>115</v>
      </c>
      <c r="E121" s="4">
        <v>1</v>
      </c>
      <c r="F121" s="4">
        <v>1</v>
      </c>
      <c r="G121" s="4">
        <v>0</v>
      </c>
      <c r="H121" s="4">
        <v>1</v>
      </c>
      <c r="I121" s="4">
        <v>1</v>
      </c>
      <c r="J121" s="4">
        <v>0</v>
      </c>
      <c r="K121" s="4">
        <v>0</v>
      </c>
      <c r="L121" s="4">
        <v>0</v>
      </c>
      <c r="M121" s="4">
        <f t="shared" si="2"/>
        <v>124</v>
      </c>
      <c r="N121" t="str">
        <f t="shared" si="3"/>
        <v>Hospitalización urgente</v>
      </c>
    </row>
    <row r="122" spans="1:14" x14ac:dyDescent="0.3">
      <c r="A122" s="4">
        <v>47</v>
      </c>
      <c r="B122" s="4">
        <v>27.6</v>
      </c>
      <c r="C122" s="4">
        <v>100</v>
      </c>
      <c r="D122" s="4">
        <v>73</v>
      </c>
      <c r="E122" s="4">
        <v>0</v>
      </c>
      <c r="F122" s="4">
        <v>0</v>
      </c>
      <c r="G122" s="4">
        <v>1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f t="shared" si="2"/>
        <v>82</v>
      </c>
      <c r="N122" t="str">
        <f t="shared" si="3"/>
        <v>Medio</v>
      </c>
    </row>
    <row r="123" spans="1:14" x14ac:dyDescent="0.3">
      <c r="A123" s="4">
        <v>40</v>
      </c>
      <c r="B123" s="4">
        <v>38.06</v>
      </c>
      <c r="C123" s="4">
        <v>109</v>
      </c>
      <c r="D123" s="4">
        <v>64</v>
      </c>
      <c r="E123" s="4">
        <v>0</v>
      </c>
      <c r="F123" s="4">
        <v>0</v>
      </c>
      <c r="G123" s="4">
        <v>1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f t="shared" si="2"/>
        <v>79</v>
      </c>
      <c r="N123" t="str">
        <f t="shared" si="3"/>
        <v>Medio</v>
      </c>
    </row>
    <row r="124" spans="1:14" x14ac:dyDescent="0.3">
      <c r="A124" s="4">
        <v>35</v>
      </c>
      <c r="B124" s="4">
        <v>26.54</v>
      </c>
      <c r="C124" s="4">
        <v>116</v>
      </c>
      <c r="D124" s="4">
        <v>58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f t="shared" si="2"/>
        <v>77.33</v>
      </c>
      <c r="N124" t="str">
        <f t="shared" si="3"/>
        <v>Ninguno</v>
      </c>
    </row>
    <row r="125" spans="1:14" x14ac:dyDescent="0.3">
      <c r="A125" s="4">
        <v>42</v>
      </c>
      <c r="B125" s="4">
        <v>24.21</v>
      </c>
      <c r="C125" s="4">
        <v>213</v>
      </c>
      <c r="D125" s="4">
        <v>127</v>
      </c>
      <c r="E125" s="4">
        <v>0</v>
      </c>
      <c r="F125" s="4">
        <v>0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f t="shared" si="2"/>
        <v>155.66999999999999</v>
      </c>
      <c r="N125" t="str">
        <f t="shared" si="3"/>
        <v>Hospitalización urgente</v>
      </c>
    </row>
    <row r="126" spans="1:14" x14ac:dyDescent="0.3">
      <c r="A126" s="4">
        <v>27</v>
      </c>
      <c r="B126" s="4">
        <v>28.91</v>
      </c>
      <c r="C126" s="4">
        <v>97</v>
      </c>
      <c r="D126" s="4">
        <v>86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f t="shared" si="2"/>
        <v>89.67</v>
      </c>
      <c r="N126" t="str">
        <f t="shared" si="3"/>
        <v>Ninguno</v>
      </c>
    </row>
    <row r="127" spans="1:14" x14ac:dyDescent="0.3">
      <c r="A127" s="4">
        <v>41</v>
      </c>
      <c r="B127" s="4">
        <v>25.68</v>
      </c>
      <c r="C127" s="4">
        <v>158</v>
      </c>
      <c r="D127" s="4">
        <v>64</v>
      </c>
      <c r="E127" s="4">
        <v>0</v>
      </c>
      <c r="F127" s="4">
        <v>0</v>
      </c>
      <c r="G127" s="4">
        <v>1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f t="shared" si="2"/>
        <v>95.33</v>
      </c>
      <c r="N127" t="str">
        <f t="shared" si="3"/>
        <v>Medio</v>
      </c>
    </row>
    <row r="128" spans="1:14" x14ac:dyDescent="0.3">
      <c r="A128" s="4">
        <v>48</v>
      </c>
      <c r="B128" s="4">
        <v>29.69</v>
      </c>
      <c r="C128" s="4">
        <v>185</v>
      </c>
      <c r="D128" s="4">
        <v>116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f t="shared" si="2"/>
        <v>139</v>
      </c>
      <c r="N128" t="str">
        <f t="shared" si="3"/>
        <v>Hospitalización urgente</v>
      </c>
    </row>
    <row r="129" spans="1:14" x14ac:dyDescent="0.3">
      <c r="A129" s="4">
        <v>29</v>
      </c>
      <c r="B129" s="4">
        <v>37.619999999999997</v>
      </c>
      <c r="C129" s="4">
        <v>166</v>
      </c>
      <c r="D129" s="4">
        <v>116</v>
      </c>
      <c r="E129" s="4">
        <v>1</v>
      </c>
      <c r="F129" s="4">
        <v>1</v>
      </c>
      <c r="G129" s="4">
        <v>0</v>
      </c>
      <c r="H129" s="4">
        <v>0</v>
      </c>
      <c r="I129" s="4">
        <v>0</v>
      </c>
      <c r="J129" s="4">
        <v>0</v>
      </c>
      <c r="K129" s="4">
        <v>1</v>
      </c>
      <c r="L129" s="4">
        <v>0</v>
      </c>
      <c r="M129" s="4">
        <f t="shared" si="2"/>
        <v>132.66999999999999</v>
      </c>
      <c r="N129" t="str">
        <f t="shared" si="3"/>
        <v>Hospitalización urgente</v>
      </c>
    </row>
    <row r="130" spans="1:14" x14ac:dyDescent="0.3">
      <c r="A130" s="4">
        <v>25</v>
      </c>
      <c r="B130" s="4">
        <v>35.36</v>
      </c>
      <c r="C130" s="4">
        <v>141</v>
      </c>
      <c r="D130" s="4">
        <v>86</v>
      </c>
      <c r="E130" s="4">
        <v>0</v>
      </c>
      <c r="F130" s="4">
        <v>0</v>
      </c>
      <c r="G130" s="4">
        <v>1</v>
      </c>
      <c r="H130" s="4">
        <v>1</v>
      </c>
      <c r="I130" s="4">
        <v>0</v>
      </c>
      <c r="J130" s="4">
        <v>0</v>
      </c>
      <c r="K130" s="4">
        <v>0</v>
      </c>
      <c r="L130" s="4">
        <v>0</v>
      </c>
      <c r="M130" s="4">
        <f t="shared" si="2"/>
        <v>104.33</v>
      </c>
      <c r="N130" t="str">
        <f t="shared" si="3"/>
        <v>Medio</v>
      </c>
    </row>
    <row r="131" spans="1:14" x14ac:dyDescent="0.3">
      <c r="A131" s="4">
        <v>25</v>
      </c>
      <c r="B131" s="4">
        <v>24.94</v>
      </c>
      <c r="C131" s="4">
        <v>99</v>
      </c>
      <c r="D131" s="4">
        <v>110</v>
      </c>
      <c r="E131" s="4">
        <v>1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f t="shared" ref="M131:M194" si="4">ROUND((MAX(C131, D131) + (2 * MIN(C131, D131))) / 3, 2)</f>
        <v>102.67</v>
      </c>
      <c r="N131" t="str">
        <f t="shared" ref="N131:N194" si="5">IF(OR(MAX(C131, D131)&gt;=160, MIN(C131, D131)&gt;=110), "Hospitalización urgente", IF(OR(E131=1, F131=1, I131=1, J131=1, (IF(A131&gt;40, 1.82, 0) + IF(B131&gt;=30, 2.47, 0) + IF(MAX(C131, D131)&gt;=140, 2.4, 0) + IF(MIN(C131, D131)&gt;=90, 1.4, 0) + IF(E131=1, 3.6, 0) + IF(F131=1, 3.6, 0) + IF(G131=1, 3, 0) + IF(H131=1, 3, 0) + IF(I131=1, 3.6, 0) + IF(J131=1, 2.9, 0))&gt;19.01), "Alto", IF(OR(K131=1, L131=1, M131&gt;95, (IF(A131&gt;40, 1.82, 0) + IF(B131&gt;=30, 2.47, 0) + IF(MAX(C131, D131)&gt;=140, 2.4, 0) + IF(MIN(C131, D131)&gt;=90, 1.4, 0) + IF(E131=1, 3.6, 0) + IF(F131=1, 3.6, 0) + IF(G131=1, 3, 0) + IF(H131=1, 3, 0) + IF(I131=1, 3.6, 0) + IF(J131=1, 2.9, 0))&gt;0), "Medio", "Ninguno")))</f>
        <v>Alto</v>
      </c>
    </row>
    <row r="132" spans="1:14" x14ac:dyDescent="0.3">
      <c r="A132" s="4">
        <v>35</v>
      </c>
      <c r="B132" s="4">
        <v>23.08</v>
      </c>
      <c r="C132" s="4">
        <v>191</v>
      </c>
      <c r="D132" s="4">
        <v>114</v>
      </c>
      <c r="E132" s="4">
        <v>0</v>
      </c>
      <c r="F132" s="4">
        <v>0</v>
      </c>
      <c r="G132" s="4">
        <v>1</v>
      </c>
      <c r="H132" s="4">
        <v>0</v>
      </c>
      <c r="I132" s="4">
        <v>1</v>
      </c>
      <c r="J132" s="4">
        <v>0</v>
      </c>
      <c r="K132" s="4">
        <v>0</v>
      </c>
      <c r="L132" s="4">
        <v>0</v>
      </c>
      <c r="M132" s="4">
        <f t="shared" si="4"/>
        <v>139.66999999999999</v>
      </c>
      <c r="N132" t="str">
        <f t="shared" si="5"/>
        <v>Hospitalización urgente</v>
      </c>
    </row>
    <row r="133" spans="1:14" x14ac:dyDescent="0.3">
      <c r="A133" s="4">
        <v>43</v>
      </c>
      <c r="B133" s="4">
        <v>38.659999999999997</v>
      </c>
      <c r="C133" s="4">
        <v>146</v>
      </c>
      <c r="D133" s="4">
        <v>90</v>
      </c>
      <c r="E133" s="4">
        <v>0</v>
      </c>
      <c r="F133" s="4">
        <v>0</v>
      </c>
      <c r="G133" s="4">
        <v>1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f t="shared" si="4"/>
        <v>108.67</v>
      </c>
      <c r="N133" t="str">
        <f t="shared" si="5"/>
        <v>Medio</v>
      </c>
    </row>
    <row r="134" spans="1:14" x14ac:dyDescent="0.3">
      <c r="A134" s="4">
        <v>38</v>
      </c>
      <c r="B134" s="4">
        <v>36.32</v>
      </c>
      <c r="C134" s="4">
        <v>154</v>
      </c>
      <c r="D134" s="4">
        <v>65</v>
      </c>
      <c r="E134" s="4">
        <v>1</v>
      </c>
      <c r="F134" s="4">
        <v>1</v>
      </c>
      <c r="G134" s="4">
        <v>1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f t="shared" si="4"/>
        <v>94.67</v>
      </c>
      <c r="N134" t="str">
        <f t="shared" si="5"/>
        <v>Alto</v>
      </c>
    </row>
    <row r="135" spans="1:14" x14ac:dyDescent="0.3">
      <c r="A135" s="4">
        <v>47</v>
      </c>
      <c r="B135" s="4">
        <v>25.61</v>
      </c>
      <c r="C135" s="4">
        <v>121</v>
      </c>
      <c r="D135" s="4">
        <v>73</v>
      </c>
      <c r="E135" s="4">
        <v>0</v>
      </c>
      <c r="F135" s="4">
        <v>0</v>
      </c>
      <c r="G135" s="4">
        <v>1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f t="shared" si="4"/>
        <v>89</v>
      </c>
      <c r="N135" t="str">
        <f t="shared" si="5"/>
        <v>Medio</v>
      </c>
    </row>
    <row r="136" spans="1:14" x14ac:dyDescent="0.3">
      <c r="A136" s="4">
        <v>54</v>
      </c>
      <c r="B136" s="4">
        <v>38.61</v>
      </c>
      <c r="C136" s="4">
        <v>108</v>
      </c>
      <c r="D136" s="4">
        <v>75</v>
      </c>
      <c r="E136" s="4">
        <v>0</v>
      </c>
      <c r="F136" s="4">
        <v>0</v>
      </c>
      <c r="G136" s="4">
        <v>1</v>
      </c>
      <c r="H136" s="4">
        <v>1</v>
      </c>
      <c r="I136" s="4">
        <v>0</v>
      </c>
      <c r="J136" s="4">
        <v>0</v>
      </c>
      <c r="K136" s="4">
        <v>0</v>
      </c>
      <c r="L136" s="4">
        <v>0</v>
      </c>
      <c r="M136" s="4">
        <f t="shared" si="4"/>
        <v>86</v>
      </c>
      <c r="N136" t="str">
        <f t="shared" si="5"/>
        <v>Medio</v>
      </c>
    </row>
    <row r="137" spans="1:14" x14ac:dyDescent="0.3">
      <c r="A137" s="4">
        <v>45</v>
      </c>
      <c r="B137" s="4">
        <v>27.81</v>
      </c>
      <c r="C137" s="4">
        <v>116</v>
      </c>
      <c r="D137" s="4">
        <v>67</v>
      </c>
      <c r="E137" s="4">
        <v>0</v>
      </c>
      <c r="F137" s="4">
        <v>0</v>
      </c>
      <c r="G137" s="4">
        <v>1</v>
      </c>
      <c r="H137" s="4">
        <v>1</v>
      </c>
      <c r="I137" s="4">
        <v>0</v>
      </c>
      <c r="J137" s="4">
        <v>0</v>
      </c>
      <c r="K137" s="4">
        <v>0</v>
      </c>
      <c r="L137" s="4">
        <v>0</v>
      </c>
      <c r="M137" s="4">
        <f t="shared" si="4"/>
        <v>83.33</v>
      </c>
      <c r="N137" t="str">
        <f t="shared" si="5"/>
        <v>Medio</v>
      </c>
    </row>
    <row r="138" spans="1:14" x14ac:dyDescent="0.3">
      <c r="A138" s="4">
        <v>48</v>
      </c>
      <c r="B138" s="4">
        <v>30.25</v>
      </c>
      <c r="C138" s="4">
        <v>158</v>
      </c>
      <c r="D138" s="4">
        <v>64</v>
      </c>
      <c r="E138" s="4">
        <v>1</v>
      </c>
      <c r="F138" s="4">
        <v>1</v>
      </c>
      <c r="G138" s="4">
        <v>1</v>
      </c>
      <c r="H138" s="4">
        <v>0</v>
      </c>
      <c r="I138" s="4">
        <v>0</v>
      </c>
      <c r="J138" s="4">
        <v>1</v>
      </c>
      <c r="K138" s="4">
        <v>0</v>
      </c>
      <c r="L138" s="4">
        <v>0</v>
      </c>
      <c r="M138" s="4">
        <f t="shared" si="4"/>
        <v>95.33</v>
      </c>
      <c r="N138" t="str">
        <f t="shared" si="5"/>
        <v>Alto</v>
      </c>
    </row>
    <row r="139" spans="1:14" x14ac:dyDescent="0.3">
      <c r="A139" s="4">
        <v>43</v>
      </c>
      <c r="B139" s="4">
        <v>34.86</v>
      </c>
      <c r="C139" s="4">
        <v>158</v>
      </c>
      <c r="D139" s="4">
        <v>87</v>
      </c>
      <c r="E139" s="4">
        <v>1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f t="shared" si="4"/>
        <v>110.67</v>
      </c>
      <c r="N139" t="str">
        <f t="shared" si="5"/>
        <v>Alto</v>
      </c>
    </row>
    <row r="140" spans="1:14" x14ac:dyDescent="0.3">
      <c r="A140" s="4">
        <v>19</v>
      </c>
      <c r="B140" s="4">
        <v>35.19</v>
      </c>
      <c r="C140" s="4">
        <v>97</v>
      </c>
      <c r="D140" s="4">
        <v>75</v>
      </c>
      <c r="E140" s="4">
        <v>0</v>
      </c>
      <c r="F140" s="4">
        <v>1</v>
      </c>
      <c r="G140" s="4">
        <v>1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f t="shared" si="4"/>
        <v>82.33</v>
      </c>
      <c r="N140" t="str">
        <f t="shared" si="5"/>
        <v>Alto</v>
      </c>
    </row>
    <row r="141" spans="1:14" x14ac:dyDescent="0.3">
      <c r="A141" s="4">
        <v>50</v>
      </c>
      <c r="B141" s="4">
        <v>40.35</v>
      </c>
      <c r="C141" s="4">
        <v>186</v>
      </c>
      <c r="D141" s="4">
        <v>133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v>0</v>
      </c>
      <c r="K141" s="4">
        <v>1</v>
      </c>
      <c r="L141" s="4">
        <v>0</v>
      </c>
      <c r="M141" s="4">
        <f t="shared" si="4"/>
        <v>150.66999999999999</v>
      </c>
      <c r="N141" t="str">
        <f t="shared" si="5"/>
        <v>Hospitalización urgente</v>
      </c>
    </row>
    <row r="142" spans="1:14" x14ac:dyDescent="0.3">
      <c r="A142" s="4">
        <v>35</v>
      </c>
      <c r="B142" s="4">
        <v>24.89</v>
      </c>
      <c r="C142" s="4">
        <v>99</v>
      </c>
      <c r="D142" s="4">
        <v>69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f t="shared" si="4"/>
        <v>79</v>
      </c>
      <c r="N142" t="str">
        <f t="shared" si="5"/>
        <v>Ninguno</v>
      </c>
    </row>
    <row r="143" spans="1:14" x14ac:dyDescent="0.3">
      <c r="A143" s="4">
        <v>46</v>
      </c>
      <c r="B143" s="4">
        <v>37.619999999999997</v>
      </c>
      <c r="C143" s="4">
        <v>102</v>
      </c>
      <c r="D143" s="4">
        <v>78</v>
      </c>
      <c r="E143" s="4">
        <v>0</v>
      </c>
      <c r="F143" s="4">
        <v>0</v>
      </c>
      <c r="G143" s="4">
        <v>1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f t="shared" si="4"/>
        <v>86</v>
      </c>
      <c r="N143" t="str">
        <f t="shared" si="5"/>
        <v>Medio</v>
      </c>
    </row>
    <row r="144" spans="1:14" x14ac:dyDescent="0.3">
      <c r="A144" s="4">
        <v>32</v>
      </c>
      <c r="B144" s="4">
        <v>41.96</v>
      </c>
      <c r="C144" s="4">
        <v>132</v>
      </c>
      <c r="D144" s="4">
        <v>100</v>
      </c>
      <c r="E144" s="4">
        <v>1</v>
      </c>
      <c r="F144" s="4">
        <v>0</v>
      </c>
      <c r="G144" s="4">
        <v>0</v>
      </c>
      <c r="H144" s="4">
        <v>0</v>
      </c>
      <c r="I144" s="4">
        <v>0</v>
      </c>
      <c r="J144" s="4">
        <v>1</v>
      </c>
      <c r="K144" s="4">
        <v>0</v>
      </c>
      <c r="L144" s="4">
        <v>1</v>
      </c>
      <c r="M144" s="4">
        <f t="shared" si="4"/>
        <v>110.67</v>
      </c>
      <c r="N144" t="str">
        <f t="shared" si="5"/>
        <v>Alto</v>
      </c>
    </row>
    <row r="145" spans="1:14" x14ac:dyDescent="0.3">
      <c r="A145" s="4">
        <v>44</v>
      </c>
      <c r="B145" s="4">
        <v>27.24</v>
      </c>
      <c r="C145" s="4">
        <v>114</v>
      </c>
      <c r="D145" s="4">
        <v>95</v>
      </c>
      <c r="E145" s="4">
        <v>0</v>
      </c>
      <c r="F145" s="4">
        <v>0</v>
      </c>
      <c r="G145" s="4">
        <v>1</v>
      </c>
      <c r="H145" s="4">
        <v>0</v>
      </c>
      <c r="I145" s="4">
        <v>0</v>
      </c>
      <c r="J145" s="4">
        <v>0</v>
      </c>
      <c r="K145" s="4">
        <v>0</v>
      </c>
      <c r="L145" s="4">
        <v>1</v>
      </c>
      <c r="M145" s="4">
        <f t="shared" si="4"/>
        <v>101.33</v>
      </c>
      <c r="N145" t="str">
        <f t="shared" si="5"/>
        <v>Medio</v>
      </c>
    </row>
    <row r="146" spans="1:14" x14ac:dyDescent="0.3">
      <c r="A146" s="4">
        <v>44</v>
      </c>
      <c r="B146" s="4">
        <v>37.25</v>
      </c>
      <c r="C146" s="4">
        <v>132</v>
      </c>
      <c r="D146" s="4">
        <v>84</v>
      </c>
      <c r="E146" s="4">
        <v>0</v>
      </c>
      <c r="F146" s="4">
        <v>0</v>
      </c>
      <c r="G146" s="4">
        <v>1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f t="shared" si="4"/>
        <v>100</v>
      </c>
      <c r="N146" t="str">
        <f t="shared" si="5"/>
        <v>Medio</v>
      </c>
    </row>
    <row r="147" spans="1:14" x14ac:dyDescent="0.3">
      <c r="A147" s="4">
        <v>32</v>
      </c>
      <c r="B147" s="4">
        <v>26.79</v>
      </c>
      <c r="C147" s="4">
        <v>109</v>
      </c>
      <c r="D147" s="4">
        <v>111</v>
      </c>
      <c r="E147" s="4">
        <v>0</v>
      </c>
      <c r="F147" s="4">
        <v>1</v>
      </c>
      <c r="G147" s="4">
        <v>0</v>
      </c>
      <c r="H147" s="4">
        <v>1</v>
      </c>
      <c r="I147" s="4">
        <v>0</v>
      </c>
      <c r="J147" s="4">
        <v>1</v>
      </c>
      <c r="K147" s="4">
        <v>0</v>
      </c>
      <c r="L147" s="4">
        <v>0</v>
      </c>
      <c r="M147" s="4">
        <f t="shared" si="4"/>
        <v>109.67</v>
      </c>
      <c r="N147" t="str">
        <f t="shared" si="5"/>
        <v>Alto</v>
      </c>
    </row>
    <row r="148" spans="1:14" x14ac:dyDescent="0.3">
      <c r="A148" s="4">
        <v>25</v>
      </c>
      <c r="B148" s="4">
        <v>20.260000000000002</v>
      </c>
      <c r="C148" s="4">
        <v>101</v>
      </c>
      <c r="D148" s="4">
        <v>78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f t="shared" si="4"/>
        <v>85.67</v>
      </c>
      <c r="N148" t="str">
        <f t="shared" si="5"/>
        <v>Ninguno</v>
      </c>
    </row>
    <row r="149" spans="1:14" x14ac:dyDescent="0.3">
      <c r="A149" s="4">
        <v>41</v>
      </c>
      <c r="B149" s="4">
        <v>36.909999999999997</v>
      </c>
      <c r="C149" s="4">
        <v>138</v>
      </c>
      <c r="D149" s="4">
        <v>77</v>
      </c>
      <c r="E149" s="4">
        <v>0</v>
      </c>
      <c r="F149" s="4">
        <v>0</v>
      </c>
      <c r="G149" s="4">
        <v>1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>
        <f t="shared" si="4"/>
        <v>97.33</v>
      </c>
      <c r="N149" t="str">
        <f t="shared" si="5"/>
        <v>Medio</v>
      </c>
    </row>
    <row r="150" spans="1:14" x14ac:dyDescent="0.3">
      <c r="A150" s="4">
        <v>48</v>
      </c>
      <c r="B150" s="4">
        <v>28.13</v>
      </c>
      <c r="C150" s="4">
        <v>132</v>
      </c>
      <c r="D150" s="4">
        <v>62</v>
      </c>
      <c r="E150" s="4">
        <v>0</v>
      </c>
      <c r="F150" s="4">
        <v>0</v>
      </c>
      <c r="G150" s="4">
        <v>1</v>
      </c>
      <c r="H150" s="4">
        <v>1</v>
      </c>
      <c r="I150" s="4">
        <v>0</v>
      </c>
      <c r="J150" s="4">
        <v>0</v>
      </c>
      <c r="K150" s="4">
        <v>0</v>
      </c>
      <c r="L150" s="4">
        <v>1</v>
      </c>
      <c r="M150" s="4">
        <f t="shared" si="4"/>
        <v>85.33</v>
      </c>
      <c r="N150" t="str">
        <f t="shared" si="5"/>
        <v>Medio</v>
      </c>
    </row>
    <row r="151" spans="1:14" x14ac:dyDescent="0.3">
      <c r="A151" s="4">
        <v>54</v>
      </c>
      <c r="B151" s="4">
        <v>28.52</v>
      </c>
      <c r="C151" s="4">
        <v>180</v>
      </c>
      <c r="D151" s="4">
        <v>118</v>
      </c>
      <c r="E151" s="4">
        <v>0</v>
      </c>
      <c r="F151" s="4">
        <v>0</v>
      </c>
      <c r="G151" s="4">
        <v>0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 s="4">
        <f t="shared" si="4"/>
        <v>138.66999999999999</v>
      </c>
      <c r="N151" t="str">
        <f t="shared" si="5"/>
        <v>Hospitalización urgente</v>
      </c>
    </row>
    <row r="152" spans="1:14" x14ac:dyDescent="0.3">
      <c r="A152" s="4">
        <v>25</v>
      </c>
      <c r="B152" s="4">
        <v>23.66</v>
      </c>
      <c r="C152" s="4">
        <v>111</v>
      </c>
      <c r="D152" s="4">
        <v>81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f t="shared" si="4"/>
        <v>91</v>
      </c>
      <c r="N152" t="str">
        <f t="shared" si="5"/>
        <v>Ninguno</v>
      </c>
    </row>
    <row r="153" spans="1:14" x14ac:dyDescent="0.3">
      <c r="A153" s="4">
        <v>43</v>
      </c>
      <c r="B153" s="4">
        <v>29.53</v>
      </c>
      <c r="C153" s="4">
        <v>168</v>
      </c>
      <c r="D153" s="4">
        <v>132</v>
      </c>
      <c r="E153" s="4">
        <v>1</v>
      </c>
      <c r="F153" s="4">
        <v>1</v>
      </c>
      <c r="G153" s="4">
        <v>0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f t="shared" si="4"/>
        <v>144</v>
      </c>
      <c r="N153" t="str">
        <f t="shared" si="5"/>
        <v>Hospitalización urgente</v>
      </c>
    </row>
    <row r="154" spans="1:14" x14ac:dyDescent="0.3">
      <c r="A154" s="4">
        <v>26</v>
      </c>
      <c r="B154" s="4">
        <v>30.06</v>
      </c>
      <c r="C154" s="4">
        <v>134</v>
      </c>
      <c r="D154" s="4">
        <v>104</v>
      </c>
      <c r="E154" s="4">
        <v>1</v>
      </c>
      <c r="F154" s="4">
        <v>1</v>
      </c>
      <c r="G154" s="4">
        <v>0</v>
      </c>
      <c r="H154" s="4">
        <v>0</v>
      </c>
      <c r="I154" s="4">
        <v>0</v>
      </c>
      <c r="J154" s="4">
        <v>1</v>
      </c>
      <c r="K154" s="4">
        <v>0</v>
      </c>
      <c r="L154" s="4">
        <v>0</v>
      </c>
      <c r="M154" s="4">
        <f t="shared" si="4"/>
        <v>114</v>
      </c>
      <c r="N154" t="str">
        <f t="shared" si="5"/>
        <v>Alto</v>
      </c>
    </row>
    <row r="155" spans="1:14" x14ac:dyDescent="0.3">
      <c r="A155" s="4">
        <v>55</v>
      </c>
      <c r="B155" s="4">
        <v>33.4</v>
      </c>
      <c r="C155" s="4">
        <v>118</v>
      </c>
      <c r="D155" s="4">
        <v>84</v>
      </c>
      <c r="E155" s="4">
        <v>0</v>
      </c>
      <c r="F155" s="4">
        <v>0</v>
      </c>
      <c r="G155" s="4">
        <v>1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f t="shared" si="4"/>
        <v>95.33</v>
      </c>
      <c r="N155" t="str">
        <f t="shared" si="5"/>
        <v>Medio</v>
      </c>
    </row>
    <row r="156" spans="1:14" x14ac:dyDescent="0.3">
      <c r="A156" s="4">
        <v>24</v>
      </c>
      <c r="B156" s="4">
        <v>25.25</v>
      </c>
      <c r="C156" s="4">
        <v>98</v>
      </c>
      <c r="D156" s="4">
        <v>66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f t="shared" si="4"/>
        <v>76.67</v>
      </c>
      <c r="N156" t="str">
        <f t="shared" si="5"/>
        <v>Ninguno</v>
      </c>
    </row>
    <row r="157" spans="1:14" x14ac:dyDescent="0.3">
      <c r="A157" s="4">
        <v>40</v>
      </c>
      <c r="B157" s="4">
        <v>35.549999999999997</v>
      </c>
      <c r="C157" s="4">
        <v>119</v>
      </c>
      <c r="D157" s="4">
        <v>102</v>
      </c>
      <c r="E157" s="4">
        <v>0</v>
      </c>
      <c r="F157" s="4">
        <v>0</v>
      </c>
      <c r="G157" s="4">
        <v>1</v>
      </c>
      <c r="H157" s="4">
        <v>1</v>
      </c>
      <c r="I157" s="4">
        <v>0</v>
      </c>
      <c r="J157" s="4">
        <v>0</v>
      </c>
      <c r="K157" s="4">
        <v>0</v>
      </c>
      <c r="L157" s="4">
        <v>1</v>
      </c>
      <c r="M157" s="4">
        <f t="shared" si="4"/>
        <v>107.67</v>
      </c>
      <c r="N157" t="str">
        <f t="shared" si="5"/>
        <v>Medio</v>
      </c>
    </row>
    <row r="158" spans="1:14" x14ac:dyDescent="0.3">
      <c r="A158" s="4">
        <v>53</v>
      </c>
      <c r="B158" s="4">
        <v>39.47</v>
      </c>
      <c r="C158" s="4">
        <v>120</v>
      </c>
      <c r="D158" s="4">
        <v>81</v>
      </c>
      <c r="E158" s="4">
        <v>0</v>
      </c>
      <c r="F158" s="4">
        <v>0</v>
      </c>
      <c r="G158" s="4">
        <v>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f t="shared" si="4"/>
        <v>94</v>
      </c>
      <c r="N158" t="str">
        <f t="shared" si="5"/>
        <v>Medio</v>
      </c>
    </row>
    <row r="159" spans="1:14" x14ac:dyDescent="0.3">
      <c r="A159" s="4">
        <v>39</v>
      </c>
      <c r="B159" s="4">
        <v>29.06</v>
      </c>
      <c r="C159" s="4">
        <v>110</v>
      </c>
      <c r="D159" s="4">
        <v>51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f t="shared" si="4"/>
        <v>70.67</v>
      </c>
      <c r="N159" t="str">
        <f t="shared" si="5"/>
        <v>Ninguno</v>
      </c>
    </row>
    <row r="160" spans="1:14" x14ac:dyDescent="0.3">
      <c r="A160" s="4">
        <v>39</v>
      </c>
      <c r="B160" s="4">
        <v>22.77</v>
      </c>
      <c r="C160" s="4">
        <v>185</v>
      </c>
      <c r="D160" s="4">
        <v>122</v>
      </c>
      <c r="E160" s="4">
        <v>0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0</v>
      </c>
      <c r="L160" s="4">
        <v>0</v>
      </c>
      <c r="M160" s="4">
        <f t="shared" si="4"/>
        <v>143</v>
      </c>
      <c r="N160" t="str">
        <f t="shared" si="5"/>
        <v>Hospitalización urgente</v>
      </c>
    </row>
    <row r="161" spans="1:14" x14ac:dyDescent="0.3">
      <c r="A161" s="4">
        <v>25</v>
      </c>
      <c r="B161" s="4">
        <v>42.04</v>
      </c>
      <c r="C161" s="4">
        <v>164</v>
      </c>
      <c r="D161" s="4">
        <v>111</v>
      </c>
      <c r="E161" s="4">
        <v>0</v>
      </c>
      <c r="F161" s="4">
        <v>0</v>
      </c>
      <c r="G161" s="4">
        <v>1</v>
      </c>
      <c r="H161" s="4">
        <v>1</v>
      </c>
      <c r="I161" s="4">
        <v>1</v>
      </c>
      <c r="J161" s="4">
        <v>0</v>
      </c>
      <c r="K161" s="4">
        <v>0</v>
      </c>
      <c r="L161" s="4">
        <v>0</v>
      </c>
      <c r="M161" s="4">
        <f t="shared" si="4"/>
        <v>128.66999999999999</v>
      </c>
      <c r="N161" t="str">
        <f t="shared" si="5"/>
        <v>Hospitalización urgente</v>
      </c>
    </row>
    <row r="162" spans="1:14" x14ac:dyDescent="0.3">
      <c r="A162" s="4">
        <v>31</v>
      </c>
      <c r="B162" s="4">
        <v>42.19</v>
      </c>
      <c r="C162" s="4">
        <v>204</v>
      </c>
      <c r="D162" s="4">
        <v>136</v>
      </c>
      <c r="E162" s="4">
        <v>0</v>
      </c>
      <c r="F162" s="4">
        <v>0</v>
      </c>
      <c r="G162" s="4">
        <v>1</v>
      </c>
      <c r="H162" s="4">
        <v>0</v>
      </c>
      <c r="I162" s="4">
        <v>1</v>
      </c>
      <c r="J162" s="4">
        <v>1</v>
      </c>
      <c r="K162" s="4">
        <v>0</v>
      </c>
      <c r="L162" s="4">
        <v>0</v>
      </c>
      <c r="M162" s="4">
        <f t="shared" si="4"/>
        <v>158.66999999999999</v>
      </c>
      <c r="N162" t="str">
        <f t="shared" si="5"/>
        <v>Hospitalización urgente</v>
      </c>
    </row>
    <row r="163" spans="1:14" x14ac:dyDescent="0.3">
      <c r="A163" s="4">
        <v>29</v>
      </c>
      <c r="B163" s="4">
        <v>26.55</v>
      </c>
      <c r="C163" s="4">
        <v>154</v>
      </c>
      <c r="D163" s="4">
        <v>66</v>
      </c>
      <c r="E163" s="4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0</v>
      </c>
      <c r="L163" s="4">
        <v>0</v>
      </c>
      <c r="M163" s="4">
        <f t="shared" si="4"/>
        <v>95.33</v>
      </c>
      <c r="N163" t="str">
        <f t="shared" si="5"/>
        <v>Alto</v>
      </c>
    </row>
    <row r="164" spans="1:14" x14ac:dyDescent="0.3">
      <c r="A164" s="4">
        <v>21</v>
      </c>
      <c r="B164" s="4">
        <v>37.04</v>
      </c>
      <c r="C164" s="4">
        <v>131</v>
      </c>
      <c r="D164" s="4">
        <v>66</v>
      </c>
      <c r="E164" s="4">
        <v>1</v>
      </c>
      <c r="F164" s="4">
        <v>1</v>
      </c>
      <c r="G164" s="4">
        <v>1</v>
      </c>
      <c r="H164" s="4">
        <v>0</v>
      </c>
      <c r="I164" s="4">
        <v>1</v>
      </c>
      <c r="J164" s="4">
        <v>0</v>
      </c>
      <c r="K164" s="4">
        <v>0</v>
      </c>
      <c r="L164" s="4">
        <v>0</v>
      </c>
      <c r="M164" s="4">
        <f t="shared" si="4"/>
        <v>87.67</v>
      </c>
      <c r="N164" t="str">
        <f t="shared" si="5"/>
        <v>Alto</v>
      </c>
    </row>
    <row r="165" spans="1:14" x14ac:dyDescent="0.3">
      <c r="A165" s="4">
        <v>44</v>
      </c>
      <c r="B165" s="4">
        <v>26.14</v>
      </c>
      <c r="C165" s="4">
        <v>115</v>
      </c>
      <c r="D165" s="4">
        <v>60</v>
      </c>
      <c r="E165" s="4">
        <v>0</v>
      </c>
      <c r="F165" s="4">
        <v>0</v>
      </c>
      <c r="G165" s="4">
        <v>1</v>
      </c>
      <c r="H165" s="4">
        <v>0</v>
      </c>
      <c r="I165" s="4">
        <v>0</v>
      </c>
      <c r="J165" s="4">
        <v>0</v>
      </c>
      <c r="K165" s="4">
        <v>1</v>
      </c>
      <c r="L165" s="4">
        <v>0</v>
      </c>
      <c r="M165" s="4">
        <f t="shared" si="4"/>
        <v>78.33</v>
      </c>
      <c r="N165" t="str">
        <f t="shared" si="5"/>
        <v>Medio</v>
      </c>
    </row>
    <row r="166" spans="1:14" x14ac:dyDescent="0.3">
      <c r="A166" s="4">
        <v>36</v>
      </c>
      <c r="B166" s="4">
        <v>39.92</v>
      </c>
      <c r="C166" s="4">
        <v>176</v>
      </c>
      <c r="D166" s="4">
        <v>136</v>
      </c>
      <c r="E166" s="4">
        <v>0</v>
      </c>
      <c r="F166" s="4">
        <v>0</v>
      </c>
      <c r="G166" s="4">
        <v>1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f t="shared" si="4"/>
        <v>149.33000000000001</v>
      </c>
      <c r="N166" t="str">
        <f t="shared" si="5"/>
        <v>Hospitalización urgente</v>
      </c>
    </row>
    <row r="167" spans="1:14" x14ac:dyDescent="0.3">
      <c r="A167" s="4">
        <v>28</v>
      </c>
      <c r="B167" s="4">
        <v>22.24</v>
      </c>
      <c r="C167" s="4">
        <v>101</v>
      </c>
      <c r="D167" s="4">
        <v>83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f t="shared" si="4"/>
        <v>89</v>
      </c>
      <c r="N167" t="str">
        <f t="shared" si="5"/>
        <v>Ninguno</v>
      </c>
    </row>
    <row r="168" spans="1:14" x14ac:dyDescent="0.3">
      <c r="A168" s="4">
        <v>50</v>
      </c>
      <c r="B168" s="4">
        <v>27.45</v>
      </c>
      <c r="C168" s="4">
        <v>178</v>
      </c>
      <c r="D168" s="4">
        <v>134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f t="shared" si="4"/>
        <v>148.66999999999999</v>
      </c>
      <c r="N168" t="str">
        <f t="shared" si="5"/>
        <v>Hospitalización urgente</v>
      </c>
    </row>
    <row r="169" spans="1:14" x14ac:dyDescent="0.3">
      <c r="A169" s="4">
        <v>42</v>
      </c>
      <c r="B169" s="4">
        <v>34.630000000000003</v>
      </c>
      <c r="C169" s="4">
        <v>103</v>
      </c>
      <c r="D169" s="4">
        <v>98</v>
      </c>
      <c r="E169" s="4">
        <v>0</v>
      </c>
      <c r="F169" s="4">
        <v>0</v>
      </c>
      <c r="G169" s="4">
        <v>1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f t="shared" si="4"/>
        <v>99.67</v>
      </c>
      <c r="N169" t="str">
        <f t="shared" si="5"/>
        <v>Medio</v>
      </c>
    </row>
    <row r="170" spans="1:14" x14ac:dyDescent="0.3">
      <c r="A170" s="4">
        <v>35</v>
      </c>
      <c r="B170" s="4">
        <v>31.9</v>
      </c>
      <c r="C170" s="4">
        <v>100</v>
      </c>
      <c r="D170" s="4">
        <v>80</v>
      </c>
      <c r="E170" s="4">
        <v>0</v>
      </c>
      <c r="F170" s="4">
        <v>0</v>
      </c>
      <c r="G170" s="4">
        <v>1</v>
      </c>
      <c r="H170" s="4">
        <v>1</v>
      </c>
      <c r="I170" s="4">
        <v>0</v>
      </c>
      <c r="J170" s="4">
        <v>0</v>
      </c>
      <c r="K170" s="4">
        <v>0</v>
      </c>
      <c r="L170" s="4">
        <v>0</v>
      </c>
      <c r="M170" s="4">
        <f t="shared" si="4"/>
        <v>86.67</v>
      </c>
      <c r="N170" t="str">
        <f t="shared" si="5"/>
        <v>Medio</v>
      </c>
    </row>
    <row r="171" spans="1:14" x14ac:dyDescent="0.3">
      <c r="A171" s="4">
        <v>33</v>
      </c>
      <c r="B171" s="4">
        <v>34.81</v>
      </c>
      <c r="C171" s="4">
        <v>135</v>
      </c>
      <c r="D171" s="4">
        <v>74</v>
      </c>
      <c r="E171" s="4">
        <v>1</v>
      </c>
      <c r="F171" s="4">
        <v>1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f t="shared" si="4"/>
        <v>94.33</v>
      </c>
      <c r="N171" t="str">
        <f t="shared" si="5"/>
        <v>Alto</v>
      </c>
    </row>
    <row r="172" spans="1:14" x14ac:dyDescent="0.3">
      <c r="A172" s="4">
        <v>26</v>
      </c>
      <c r="B172" s="4">
        <v>18.95</v>
      </c>
      <c r="C172" s="4">
        <v>92</v>
      </c>
      <c r="D172" s="4">
        <v>83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f t="shared" si="4"/>
        <v>86</v>
      </c>
      <c r="N172" t="str">
        <f t="shared" si="5"/>
        <v>Ninguno</v>
      </c>
    </row>
    <row r="173" spans="1:14" x14ac:dyDescent="0.3">
      <c r="A173" s="4">
        <v>29</v>
      </c>
      <c r="B173" s="4">
        <v>25.51</v>
      </c>
      <c r="C173" s="4">
        <v>93</v>
      </c>
      <c r="D173" s="4">
        <v>71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f t="shared" si="4"/>
        <v>78.33</v>
      </c>
      <c r="N173" t="str">
        <f t="shared" si="5"/>
        <v>Ninguno</v>
      </c>
    </row>
    <row r="174" spans="1:14" x14ac:dyDescent="0.3">
      <c r="A174" s="4">
        <v>52</v>
      </c>
      <c r="B174" s="4">
        <v>25.39</v>
      </c>
      <c r="C174" s="4">
        <v>135</v>
      </c>
      <c r="D174" s="4">
        <v>97</v>
      </c>
      <c r="E174" s="4">
        <v>0</v>
      </c>
      <c r="F174" s="4">
        <v>0</v>
      </c>
      <c r="G174" s="4">
        <v>1</v>
      </c>
      <c r="H174" s="4">
        <v>1</v>
      </c>
      <c r="I174" s="4">
        <v>0</v>
      </c>
      <c r="J174" s="4">
        <v>0</v>
      </c>
      <c r="K174" s="4">
        <v>0</v>
      </c>
      <c r="L174" s="4">
        <v>1</v>
      </c>
      <c r="M174" s="4">
        <f t="shared" si="4"/>
        <v>109.67</v>
      </c>
      <c r="N174" t="str">
        <f t="shared" si="5"/>
        <v>Medio</v>
      </c>
    </row>
    <row r="175" spans="1:14" x14ac:dyDescent="0.3">
      <c r="A175" s="4">
        <v>26</v>
      </c>
      <c r="B175" s="4">
        <v>23.39</v>
      </c>
      <c r="C175" s="4">
        <v>95</v>
      </c>
      <c r="D175" s="4">
        <v>64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f t="shared" si="4"/>
        <v>74.33</v>
      </c>
      <c r="N175" t="str">
        <f t="shared" si="5"/>
        <v>Ninguno</v>
      </c>
    </row>
    <row r="176" spans="1:14" x14ac:dyDescent="0.3">
      <c r="A176" s="4">
        <v>41</v>
      </c>
      <c r="B176" s="4">
        <v>34.229999999999997</v>
      </c>
      <c r="C176" s="4">
        <v>151</v>
      </c>
      <c r="D176" s="4">
        <v>92</v>
      </c>
      <c r="E176" s="4">
        <v>0</v>
      </c>
      <c r="F176" s="4">
        <v>0</v>
      </c>
      <c r="G176" s="4">
        <v>1</v>
      </c>
      <c r="H176" s="4">
        <v>0</v>
      </c>
      <c r="I176" s="4">
        <v>0</v>
      </c>
      <c r="J176" s="4">
        <v>0</v>
      </c>
      <c r="K176" s="4">
        <v>0</v>
      </c>
      <c r="L176" s="4">
        <v>1</v>
      </c>
      <c r="M176" s="4">
        <f t="shared" si="4"/>
        <v>111.67</v>
      </c>
      <c r="N176" t="str">
        <f t="shared" si="5"/>
        <v>Medio</v>
      </c>
    </row>
    <row r="177" spans="1:14" x14ac:dyDescent="0.3">
      <c r="A177" s="4">
        <v>38</v>
      </c>
      <c r="B177" s="4">
        <v>40.69</v>
      </c>
      <c r="C177" s="4">
        <v>209</v>
      </c>
      <c r="D177" s="4">
        <v>119</v>
      </c>
      <c r="E177" s="4">
        <v>1</v>
      </c>
      <c r="F177" s="4">
        <v>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f t="shared" si="4"/>
        <v>149</v>
      </c>
      <c r="N177" t="str">
        <f t="shared" si="5"/>
        <v>Hospitalización urgente</v>
      </c>
    </row>
    <row r="178" spans="1:14" x14ac:dyDescent="0.3">
      <c r="A178" s="4">
        <v>27</v>
      </c>
      <c r="B178" s="4">
        <v>29.25</v>
      </c>
      <c r="C178" s="4">
        <v>116</v>
      </c>
      <c r="D178" s="4">
        <v>87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1</v>
      </c>
      <c r="M178" s="4">
        <f t="shared" si="4"/>
        <v>96.67</v>
      </c>
      <c r="N178" t="str">
        <f t="shared" si="5"/>
        <v>Medio</v>
      </c>
    </row>
    <row r="179" spans="1:14" x14ac:dyDescent="0.3">
      <c r="A179" s="4">
        <v>47</v>
      </c>
      <c r="B179" s="4">
        <v>34.86</v>
      </c>
      <c r="C179" s="4">
        <v>109</v>
      </c>
      <c r="D179" s="4">
        <v>105</v>
      </c>
      <c r="E179" s="4">
        <v>1</v>
      </c>
      <c r="F179" s="4">
        <v>0</v>
      </c>
      <c r="G179" s="4">
        <v>1</v>
      </c>
      <c r="H179" s="4">
        <v>0</v>
      </c>
      <c r="I179" s="4">
        <v>1</v>
      </c>
      <c r="J179" s="4">
        <v>0</v>
      </c>
      <c r="K179" s="4">
        <v>0</v>
      </c>
      <c r="L179" s="4">
        <v>0</v>
      </c>
      <c r="M179" s="4">
        <f t="shared" si="4"/>
        <v>106.33</v>
      </c>
      <c r="N179" t="str">
        <f t="shared" si="5"/>
        <v>Alto</v>
      </c>
    </row>
    <row r="180" spans="1:14" x14ac:dyDescent="0.3">
      <c r="A180" s="4">
        <v>36</v>
      </c>
      <c r="B180" s="4">
        <v>22.44</v>
      </c>
      <c r="C180" s="4">
        <v>119</v>
      </c>
      <c r="D180" s="4">
        <v>79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f t="shared" si="4"/>
        <v>92.33</v>
      </c>
      <c r="N180" t="str">
        <f t="shared" si="5"/>
        <v>Ninguno</v>
      </c>
    </row>
    <row r="181" spans="1:14" x14ac:dyDescent="0.3">
      <c r="A181" s="4">
        <v>21</v>
      </c>
      <c r="B181" s="4">
        <v>23.74</v>
      </c>
      <c r="C181" s="4">
        <v>90</v>
      </c>
      <c r="D181" s="4">
        <v>60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f t="shared" si="4"/>
        <v>70</v>
      </c>
      <c r="N181" t="str">
        <f t="shared" si="5"/>
        <v>Ninguno</v>
      </c>
    </row>
    <row r="182" spans="1:14" x14ac:dyDescent="0.3">
      <c r="A182" s="4">
        <v>39</v>
      </c>
      <c r="B182" s="4">
        <v>18.739999999999998</v>
      </c>
      <c r="C182" s="4">
        <v>99</v>
      </c>
      <c r="D182" s="4">
        <v>67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f t="shared" si="4"/>
        <v>77.67</v>
      </c>
      <c r="N182" t="str">
        <f t="shared" si="5"/>
        <v>Ninguno</v>
      </c>
    </row>
    <row r="183" spans="1:14" x14ac:dyDescent="0.3">
      <c r="A183" s="4">
        <v>44</v>
      </c>
      <c r="B183" s="4">
        <v>26.24</v>
      </c>
      <c r="C183" s="4">
        <v>151</v>
      </c>
      <c r="D183" s="4">
        <v>62</v>
      </c>
      <c r="E183" s="4">
        <v>0</v>
      </c>
      <c r="F183" s="4">
        <v>0</v>
      </c>
      <c r="G183" s="4">
        <v>1</v>
      </c>
      <c r="H183" s="4">
        <v>1</v>
      </c>
      <c r="I183" s="4">
        <v>0</v>
      </c>
      <c r="J183" s="4">
        <v>0</v>
      </c>
      <c r="K183" s="4">
        <v>0</v>
      </c>
      <c r="L183" s="4">
        <v>1</v>
      </c>
      <c r="M183" s="4">
        <f t="shared" si="4"/>
        <v>91.67</v>
      </c>
      <c r="N183" t="str">
        <f t="shared" si="5"/>
        <v>Medio</v>
      </c>
    </row>
    <row r="184" spans="1:14" x14ac:dyDescent="0.3">
      <c r="A184" s="4">
        <v>48</v>
      </c>
      <c r="B184" s="4">
        <v>33.61</v>
      </c>
      <c r="C184" s="4">
        <v>108</v>
      </c>
      <c r="D184" s="4">
        <v>88</v>
      </c>
      <c r="E184" s="4">
        <v>0</v>
      </c>
      <c r="F184" s="4">
        <v>0</v>
      </c>
      <c r="G184" s="4">
        <v>1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  <c r="M184" s="4">
        <f t="shared" si="4"/>
        <v>94.67</v>
      </c>
      <c r="N184" t="str">
        <f t="shared" si="5"/>
        <v>Medio</v>
      </c>
    </row>
    <row r="185" spans="1:14" x14ac:dyDescent="0.3">
      <c r="A185" s="4">
        <v>29</v>
      </c>
      <c r="B185" s="4">
        <v>29.35</v>
      </c>
      <c r="C185" s="4">
        <v>140</v>
      </c>
      <c r="D185" s="4">
        <v>102</v>
      </c>
      <c r="E185" s="4">
        <v>0</v>
      </c>
      <c r="F185" s="4">
        <v>0</v>
      </c>
      <c r="G185" s="4">
        <v>1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f t="shared" si="4"/>
        <v>114.67</v>
      </c>
      <c r="N185" t="str">
        <f t="shared" si="5"/>
        <v>Medio</v>
      </c>
    </row>
    <row r="186" spans="1:14" x14ac:dyDescent="0.3">
      <c r="A186" s="4">
        <v>26</v>
      </c>
      <c r="B186" s="4">
        <v>27.53</v>
      </c>
      <c r="C186" s="4">
        <v>93</v>
      </c>
      <c r="D186" s="4">
        <v>51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f t="shared" si="4"/>
        <v>65</v>
      </c>
      <c r="N186" t="str">
        <f t="shared" si="5"/>
        <v>Ninguno</v>
      </c>
    </row>
    <row r="187" spans="1:14" x14ac:dyDescent="0.3">
      <c r="A187" s="4">
        <v>44</v>
      </c>
      <c r="B187" s="4">
        <v>28.91</v>
      </c>
      <c r="C187" s="4">
        <v>135</v>
      </c>
      <c r="D187" s="4">
        <v>75</v>
      </c>
      <c r="E187" s="4">
        <v>0</v>
      </c>
      <c r="F187" s="4">
        <v>0</v>
      </c>
      <c r="G187" s="4">
        <v>1</v>
      </c>
      <c r="H187" s="4">
        <v>1</v>
      </c>
      <c r="I187" s="4">
        <v>0</v>
      </c>
      <c r="J187" s="4">
        <v>0</v>
      </c>
      <c r="K187" s="4">
        <v>0</v>
      </c>
      <c r="L187" s="4">
        <v>0</v>
      </c>
      <c r="M187" s="4">
        <f t="shared" si="4"/>
        <v>95</v>
      </c>
      <c r="N187" t="str">
        <f t="shared" si="5"/>
        <v>Medio</v>
      </c>
    </row>
    <row r="188" spans="1:14" x14ac:dyDescent="0.3">
      <c r="A188" s="4">
        <v>25</v>
      </c>
      <c r="B188" s="4">
        <v>28.11</v>
      </c>
      <c r="C188" s="4">
        <v>196</v>
      </c>
      <c r="D188" s="4">
        <v>126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</v>
      </c>
      <c r="K188" s="4">
        <v>0</v>
      </c>
      <c r="L188" s="4">
        <v>1</v>
      </c>
      <c r="M188" s="4">
        <f t="shared" si="4"/>
        <v>149.33000000000001</v>
      </c>
      <c r="N188" t="str">
        <f t="shared" si="5"/>
        <v>Hospitalización urgente</v>
      </c>
    </row>
    <row r="189" spans="1:14" x14ac:dyDescent="0.3">
      <c r="A189" s="4">
        <v>37</v>
      </c>
      <c r="B189" s="4">
        <v>23.18</v>
      </c>
      <c r="C189" s="4">
        <v>143</v>
      </c>
      <c r="D189" s="4">
        <v>115</v>
      </c>
      <c r="E189" s="4">
        <v>0</v>
      </c>
      <c r="F189" s="4">
        <v>1</v>
      </c>
      <c r="G189" s="4">
        <v>1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f t="shared" si="4"/>
        <v>124.33</v>
      </c>
      <c r="N189" t="str">
        <f t="shared" si="5"/>
        <v>Hospitalización urgente</v>
      </c>
    </row>
    <row r="190" spans="1:14" x14ac:dyDescent="0.3">
      <c r="A190" s="4">
        <v>25</v>
      </c>
      <c r="B190" s="4">
        <v>26.54</v>
      </c>
      <c r="C190" s="4">
        <v>173</v>
      </c>
      <c r="D190" s="4">
        <v>112</v>
      </c>
      <c r="E190" s="4">
        <v>1</v>
      </c>
      <c r="F190" s="4">
        <v>1</v>
      </c>
      <c r="G190" s="4">
        <v>0</v>
      </c>
      <c r="H190" s="4">
        <v>0</v>
      </c>
      <c r="I190" s="4">
        <v>0</v>
      </c>
      <c r="J190" s="4">
        <v>1</v>
      </c>
      <c r="K190" s="4">
        <v>0</v>
      </c>
      <c r="L190" s="4">
        <v>0</v>
      </c>
      <c r="M190" s="4">
        <f t="shared" si="4"/>
        <v>132.33000000000001</v>
      </c>
      <c r="N190" t="str">
        <f t="shared" si="5"/>
        <v>Hospitalización urgente</v>
      </c>
    </row>
    <row r="191" spans="1:14" x14ac:dyDescent="0.3">
      <c r="A191" s="4">
        <v>31</v>
      </c>
      <c r="B191" s="4">
        <v>35.46</v>
      </c>
      <c r="C191" s="4">
        <v>159</v>
      </c>
      <c r="D191" s="4">
        <v>74</v>
      </c>
      <c r="E191" s="4">
        <v>0</v>
      </c>
      <c r="F191" s="4">
        <v>0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>
        <v>1</v>
      </c>
      <c r="M191" s="4">
        <f t="shared" si="4"/>
        <v>102.33</v>
      </c>
      <c r="N191" t="str">
        <f t="shared" si="5"/>
        <v>Medio</v>
      </c>
    </row>
    <row r="192" spans="1:14" x14ac:dyDescent="0.3">
      <c r="A192" s="4">
        <v>40</v>
      </c>
      <c r="B192" s="4">
        <v>29.08</v>
      </c>
      <c r="C192" s="4">
        <v>127</v>
      </c>
      <c r="D192" s="4">
        <v>64</v>
      </c>
      <c r="E192" s="4">
        <v>0</v>
      </c>
      <c r="F192" s="4">
        <v>0</v>
      </c>
      <c r="G192" s="4">
        <v>1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f t="shared" si="4"/>
        <v>85</v>
      </c>
      <c r="N192" t="str">
        <f t="shared" si="5"/>
        <v>Medio</v>
      </c>
    </row>
    <row r="193" spans="1:14" x14ac:dyDescent="0.3">
      <c r="A193" s="4">
        <v>32</v>
      </c>
      <c r="B193" s="4">
        <v>28.34</v>
      </c>
      <c r="C193" s="4">
        <v>156</v>
      </c>
      <c r="D193" s="4">
        <v>81</v>
      </c>
      <c r="E193" s="4">
        <v>0</v>
      </c>
      <c r="F193" s="4">
        <v>0</v>
      </c>
      <c r="G193" s="4">
        <v>1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f t="shared" si="4"/>
        <v>106</v>
      </c>
      <c r="N193" t="str">
        <f t="shared" si="5"/>
        <v>Medio</v>
      </c>
    </row>
    <row r="194" spans="1:14" x14ac:dyDescent="0.3">
      <c r="A194" s="4">
        <v>55</v>
      </c>
      <c r="B194" s="4">
        <v>30.9</v>
      </c>
      <c r="C194" s="4">
        <v>220</v>
      </c>
      <c r="D194" s="4">
        <v>120</v>
      </c>
      <c r="E194" s="4">
        <v>0</v>
      </c>
      <c r="F194" s="4">
        <v>1</v>
      </c>
      <c r="G194" s="4">
        <v>1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f t="shared" si="4"/>
        <v>153.33000000000001</v>
      </c>
      <c r="N194" t="str">
        <f t="shared" si="5"/>
        <v>Hospitalización urgente</v>
      </c>
    </row>
    <row r="195" spans="1:14" x14ac:dyDescent="0.3">
      <c r="A195" s="4">
        <v>21</v>
      </c>
      <c r="B195" s="4">
        <v>25.54</v>
      </c>
      <c r="C195" s="4">
        <v>112</v>
      </c>
      <c r="D195" s="4">
        <v>57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f t="shared" ref="M195:M258" si="6">ROUND((MAX(C195, D195) + (2 * MIN(C195, D195))) / 3, 2)</f>
        <v>75.33</v>
      </c>
      <c r="N195" t="str">
        <f t="shared" ref="N195:N258" si="7">IF(OR(MAX(C195, D195)&gt;=160, MIN(C195, D195)&gt;=110), "Hospitalización urgente", IF(OR(E195=1, F195=1, I195=1, J195=1, (IF(A195&gt;40, 1.82, 0) + IF(B195&gt;=30, 2.47, 0) + IF(MAX(C195, D195)&gt;=140, 2.4, 0) + IF(MIN(C195, D195)&gt;=90, 1.4, 0) + IF(E195=1, 3.6, 0) + IF(F195=1, 3.6, 0) + IF(G195=1, 3, 0) + IF(H195=1, 3, 0) + IF(I195=1, 3.6, 0) + IF(J195=1, 2.9, 0))&gt;19.01), "Alto", IF(OR(K195=1, L195=1, M195&gt;95, (IF(A195&gt;40, 1.82, 0) + IF(B195&gt;=30, 2.47, 0) + IF(MAX(C195, D195)&gt;=140, 2.4, 0) + IF(MIN(C195, D195)&gt;=90, 1.4, 0) + IF(E195=1, 3.6, 0) + IF(F195=1, 3.6, 0) + IF(G195=1, 3, 0) + IF(H195=1, 3, 0) + IF(I195=1, 3.6, 0) + IF(J195=1, 2.9, 0))&gt;0), "Medio", "Ninguno")))</f>
        <v>Ninguno</v>
      </c>
    </row>
    <row r="196" spans="1:14" x14ac:dyDescent="0.3">
      <c r="A196" s="4">
        <v>28</v>
      </c>
      <c r="B196" s="4">
        <v>38.770000000000003</v>
      </c>
      <c r="C196" s="4">
        <v>168</v>
      </c>
      <c r="D196" s="4">
        <v>120</v>
      </c>
      <c r="E196" s="4">
        <v>1</v>
      </c>
      <c r="F196" s="4">
        <v>1</v>
      </c>
      <c r="G196" s="4">
        <v>1</v>
      </c>
      <c r="H196" s="4">
        <v>1</v>
      </c>
      <c r="I196" s="4">
        <v>0</v>
      </c>
      <c r="J196" s="4">
        <v>0</v>
      </c>
      <c r="K196" s="4">
        <v>1</v>
      </c>
      <c r="L196" s="4">
        <v>1</v>
      </c>
      <c r="M196" s="4">
        <f t="shared" si="6"/>
        <v>136</v>
      </c>
      <c r="N196" t="str">
        <f t="shared" si="7"/>
        <v>Hospitalización urgente</v>
      </c>
    </row>
    <row r="197" spans="1:14" x14ac:dyDescent="0.3">
      <c r="A197" s="4">
        <v>31</v>
      </c>
      <c r="B197" s="4">
        <v>32.74</v>
      </c>
      <c r="C197" s="4">
        <v>179</v>
      </c>
      <c r="D197" s="4">
        <v>124</v>
      </c>
      <c r="E197" s="4">
        <v>0</v>
      </c>
      <c r="F197" s="4">
        <v>0</v>
      </c>
      <c r="G197" s="4">
        <v>1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f t="shared" si="6"/>
        <v>142.33000000000001</v>
      </c>
      <c r="N197" t="str">
        <f t="shared" si="7"/>
        <v>Hospitalización urgente</v>
      </c>
    </row>
    <row r="198" spans="1:14" x14ac:dyDescent="0.3">
      <c r="A198" s="4">
        <v>27</v>
      </c>
      <c r="B198" s="4">
        <v>22.94</v>
      </c>
      <c r="C198" s="4">
        <v>191</v>
      </c>
      <c r="D198" s="4">
        <v>114</v>
      </c>
      <c r="E198" s="4">
        <v>1</v>
      </c>
      <c r="F198" s="4">
        <v>0</v>
      </c>
      <c r="G198" s="4">
        <v>1</v>
      </c>
      <c r="H198" s="4">
        <v>1</v>
      </c>
      <c r="I198" s="4">
        <v>1</v>
      </c>
      <c r="J198" s="4">
        <v>1</v>
      </c>
      <c r="K198" s="4">
        <v>0</v>
      </c>
      <c r="L198" s="4">
        <v>1</v>
      </c>
      <c r="M198" s="4">
        <f t="shared" si="6"/>
        <v>139.66999999999999</v>
      </c>
      <c r="N198" t="str">
        <f t="shared" si="7"/>
        <v>Hospitalización urgente</v>
      </c>
    </row>
    <row r="199" spans="1:14" x14ac:dyDescent="0.3">
      <c r="A199" s="4">
        <v>38</v>
      </c>
      <c r="B199" s="4">
        <v>32.29</v>
      </c>
      <c r="C199" s="4">
        <v>162</v>
      </c>
      <c r="D199" s="4">
        <v>119</v>
      </c>
      <c r="E199" s="4">
        <v>1</v>
      </c>
      <c r="F199" s="4">
        <v>1</v>
      </c>
      <c r="G199" s="4">
        <v>0</v>
      </c>
      <c r="H199" s="4">
        <v>0</v>
      </c>
      <c r="I199" s="4">
        <v>1</v>
      </c>
      <c r="J199" s="4">
        <v>0</v>
      </c>
      <c r="K199" s="4">
        <v>0</v>
      </c>
      <c r="L199" s="4">
        <v>0</v>
      </c>
      <c r="M199" s="4">
        <f t="shared" si="6"/>
        <v>133.33000000000001</v>
      </c>
      <c r="N199" t="str">
        <f t="shared" si="7"/>
        <v>Hospitalización urgente</v>
      </c>
    </row>
    <row r="200" spans="1:14" x14ac:dyDescent="0.3">
      <c r="A200" s="4">
        <v>34</v>
      </c>
      <c r="B200" s="4">
        <v>28.29</v>
      </c>
      <c r="C200" s="4">
        <v>197</v>
      </c>
      <c r="D200" s="4">
        <v>115</v>
      </c>
      <c r="E200" s="4">
        <v>0</v>
      </c>
      <c r="F200" s="4">
        <v>1</v>
      </c>
      <c r="G200" s="4">
        <v>0</v>
      </c>
      <c r="H200" s="4">
        <v>0</v>
      </c>
      <c r="I200" s="4">
        <v>1</v>
      </c>
      <c r="J200" s="4">
        <v>1</v>
      </c>
      <c r="K200" s="4">
        <v>1</v>
      </c>
      <c r="L200" s="4">
        <v>1</v>
      </c>
      <c r="M200" s="4">
        <f t="shared" si="6"/>
        <v>142.33000000000001</v>
      </c>
      <c r="N200" t="str">
        <f t="shared" si="7"/>
        <v>Hospitalización urgente</v>
      </c>
    </row>
    <row r="201" spans="1:14" x14ac:dyDescent="0.3">
      <c r="A201" s="4">
        <v>32</v>
      </c>
      <c r="B201" s="4">
        <v>36.24</v>
      </c>
      <c r="C201" s="4">
        <v>219</v>
      </c>
      <c r="D201" s="4">
        <v>131</v>
      </c>
      <c r="E201" s="4">
        <v>0</v>
      </c>
      <c r="F201" s="4">
        <v>1</v>
      </c>
      <c r="G201" s="4">
        <v>0</v>
      </c>
      <c r="H201" s="4">
        <v>1</v>
      </c>
      <c r="I201" s="4">
        <v>0</v>
      </c>
      <c r="J201" s="4">
        <v>1</v>
      </c>
      <c r="K201" s="4">
        <v>0</v>
      </c>
      <c r="L201" s="4">
        <v>1</v>
      </c>
      <c r="M201" s="4">
        <f t="shared" si="6"/>
        <v>160.33000000000001</v>
      </c>
      <c r="N201" t="str">
        <f t="shared" si="7"/>
        <v>Hospitalización urgente</v>
      </c>
    </row>
    <row r="202" spans="1:14" x14ac:dyDescent="0.3">
      <c r="A202" s="4">
        <v>22</v>
      </c>
      <c r="B202" s="4">
        <v>36.94</v>
      </c>
      <c r="C202" s="4">
        <v>101</v>
      </c>
      <c r="D202" s="4">
        <v>100</v>
      </c>
      <c r="E202" s="4">
        <v>0</v>
      </c>
      <c r="F202" s="4">
        <v>0</v>
      </c>
      <c r="G202" s="4">
        <v>1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f t="shared" si="6"/>
        <v>100.33</v>
      </c>
      <c r="N202" t="str">
        <f t="shared" si="7"/>
        <v>Medio</v>
      </c>
    </row>
    <row r="203" spans="1:14" x14ac:dyDescent="0.3">
      <c r="A203" s="4">
        <v>48</v>
      </c>
      <c r="B203" s="4">
        <v>22.77</v>
      </c>
      <c r="C203" s="4">
        <v>132</v>
      </c>
      <c r="D203" s="4">
        <v>91</v>
      </c>
      <c r="E203" s="4">
        <v>0</v>
      </c>
      <c r="F203" s="4">
        <v>1</v>
      </c>
      <c r="G203" s="4">
        <v>1</v>
      </c>
      <c r="H203" s="4">
        <v>0</v>
      </c>
      <c r="I203" s="4">
        <v>0</v>
      </c>
      <c r="J203" s="4">
        <v>0</v>
      </c>
      <c r="K203" s="4">
        <v>0</v>
      </c>
      <c r="L203" s="4">
        <v>1</v>
      </c>
      <c r="M203" s="4">
        <f t="shared" si="6"/>
        <v>104.67</v>
      </c>
      <c r="N203" t="str">
        <f t="shared" si="7"/>
        <v>Alto</v>
      </c>
    </row>
    <row r="204" spans="1:14" x14ac:dyDescent="0.3">
      <c r="A204" s="4">
        <v>42</v>
      </c>
      <c r="B204" s="4">
        <v>34.35</v>
      </c>
      <c r="C204" s="4">
        <v>100</v>
      </c>
      <c r="D204" s="4">
        <v>112</v>
      </c>
      <c r="E204" s="4">
        <v>1</v>
      </c>
      <c r="F204" s="4">
        <v>0</v>
      </c>
      <c r="G204" s="4">
        <v>0</v>
      </c>
      <c r="H204" s="4">
        <v>0</v>
      </c>
      <c r="I204" s="4">
        <v>0</v>
      </c>
      <c r="J204" s="4">
        <v>1</v>
      </c>
      <c r="K204" s="4">
        <v>0</v>
      </c>
      <c r="L204" s="4">
        <v>1</v>
      </c>
      <c r="M204" s="4">
        <f t="shared" si="6"/>
        <v>104</v>
      </c>
      <c r="N204" t="str">
        <f t="shared" si="7"/>
        <v>Alto</v>
      </c>
    </row>
    <row r="205" spans="1:14" x14ac:dyDescent="0.3">
      <c r="A205" s="4">
        <v>22</v>
      </c>
      <c r="B205" s="4">
        <v>29.11</v>
      </c>
      <c r="C205" s="4">
        <v>105</v>
      </c>
      <c r="D205" s="4">
        <v>113</v>
      </c>
      <c r="E205" s="4">
        <v>1</v>
      </c>
      <c r="F205" s="4">
        <v>0</v>
      </c>
      <c r="G205" s="4">
        <v>0</v>
      </c>
      <c r="H205" s="4">
        <v>0</v>
      </c>
      <c r="I205" s="4">
        <v>1</v>
      </c>
      <c r="J205" s="4">
        <v>1</v>
      </c>
      <c r="K205" s="4">
        <v>0</v>
      </c>
      <c r="L205" s="4">
        <v>1</v>
      </c>
      <c r="M205" s="4">
        <f t="shared" si="6"/>
        <v>107.67</v>
      </c>
      <c r="N205" t="str">
        <f t="shared" si="7"/>
        <v>Alto</v>
      </c>
    </row>
    <row r="206" spans="1:14" x14ac:dyDescent="0.3">
      <c r="A206" s="4">
        <v>26</v>
      </c>
      <c r="B206" s="4">
        <v>29.58</v>
      </c>
      <c r="C206" s="4">
        <v>111</v>
      </c>
      <c r="D206" s="4">
        <v>83</v>
      </c>
      <c r="E206" s="4">
        <v>1</v>
      </c>
      <c r="F206" s="4">
        <v>0</v>
      </c>
      <c r="G206" s="4">
        <v>1</v>
      </c>
      <c r="H206" s="4">
        <v>1</v>
      </c>
      <c r="I206" s="4">
        <v>0</v>
      </c>
      <c r="J206" s="4">
        <v>0</v>
      </c>
      <c r="K206" s="4">
        <v>0</v>
      </c>
      <c r="L206" s="4">
        <v>0</v>
      </c>
      <c r="M206" s="4">
        <f t="shared" si="6"/>
        <v>92.33</v>
      </c>
      <c r="N206" t="str">
        <f t="shared" si="7"/>
        <v>Alto</v>
      </c>
    </row>
    <row r="207" spans="1:14" x14ac:dyDescent="0.3">
      <c r="A207" s="4">
        <v>49</v>
      </c>
      <c r="B207" s="4">
        <v>28.15</v>
      </c>
      <c r="C207" s="4">
        <v>123</v>
      </c>
      <c r="D207" s="4">
        <v>64</v>
      </c>
      <c r="E207" s="4">
        <v>0</v>
      </c>
      <c r="F207" s="4">
        <v>0</v>
      </c>
      <c r="G207" s="4">
        <v>1</v>
      </c>
      <c r="H207" s="4">
        <v>1</v>
      </c>
      <c r="I207" s="4">
        <v>0</v>
      </c>
      <c r="J207" s="4">
        <v>0</v>
      </c>
      <c r="K207" s="4">
        <v>0</v>
      </c>
      <c r="L207" s="4">
        <v>1</v>
      </c>
      <c r="M207" s="4">
        <f t="shared" si="6"/>
        <v>83.67</v>
      </c>
      <c r="N207" t="str">
        <f t="shared" si="7"/>
        <v>Medio</v>
      </c>
    </row>
    <row r="208" spans="1:14" x14ac:dyDescent="0.3">
      <c r="A208" s="4">
        <v>22</v>
      </c>
      <c r="B208" s="4">
        <v>24.97</v>
      </c>
      <c r="C208" s="4">
        <v>117</v>
      </c>
      <c r="D208" s="4">
        <v>68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f t="shared" si="6"/>
        <v>84.33</v>
      </c>
      <c r="N208" t="str">
        <f t="shared" si="7"/>
        <v>Ninguno</v>
      </c>
    </row>
    <row r="209" spans="1:14" x14ac:dyDescent="0.3">
      <c r="A209" s="4">
        <v>25</v>
      </c>
      <c r="B209" s="4">
        <v>29.51</v>
      </c>
      <c r="C209" s="4">
        <v>113</v>
      </c>
      <c r="D209" s="4">
        <v>62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f t="shared" si="6"/>
        <v>79</v>
      </c>
      <c r="N209" t="str">
        <f t="shared" si="7"/>
        <v>Ninguno</v>
      </c>
    </row>
    <row r="210" spans="1:14" x14ac:dyDescent="0.3">
      <c r="A210" s="4">
        <v>52</v>
      </c>
      <c r="B210" s="4">
        <v>40.619999999999997</v>
      </c>
      <c r="C210" s="4">
        <v>215</v>
      </c>
      <c r="D210" s="4">
        <v>111</v>
      </c>
      <c r="E210" s="4">
        <v>1</v>
      </c>
      <c r="F210" s="4">
        <v>0</v>
      </c>
      <c r="G210" s="4">
        <v>1</v>
      </c>
      <c r="H210" s="4">
        <v>1</v>
      </c>
      <c r="I210" s="4">
        <v>0</v>
      </c>
      <c r="J210" s="4">
        <v>0</v>
      </c>
      <c r="K210" s="4">
        <v>0</v>
      </c>
      <c r="L210" s="4">
        <v>0</v>
      </c>
      <c r="M210" s="4">
        <f t="shared" si="6"/>
        <v>145.66999999999999</v>
      </c>
      <c r="N210" t="str">
        <f t="shared" si="7"/>
        <v>Hospitalización urgente</v>
      </c>
    </row>
    <row r="211" spans="1:14" x14ac:dyDescent="0.3">
      <c r="A211" s="4">
        <v>53</v>
      </c>
      <c r="B211" s="4">
        <v>32.67</v>
      </c>
      <c r="C211" s="4">
        <v>157</v>
      </c>
      <c r="D211" s="4">
        <v>98</v>
      </c>
      <c r="E211" s="4">
        <v>0</v>
      </c>
      <c r="F211" s="4">
        <v>0</v>
      </c>
      <c r="G211" s="4">
        <v>1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f t="shared" si="6"/>
        <v>117.67</v>
      </c>
      <c r="N211" t="str">
        <f t="shared" si="7"/>
        <v>Medio</v>
      </c>
    </row>
    <row r="212" spans="1:14" x14ac:dyDescent="0.3">
      <c r="A212" s="4">
        <v>19</v>
      </c>
      <c r="B212" s="4">
        <v>21.86</v>
      </c>
      <c r="C212" s="4">
        <v>98</v>
      </c>
      <c r="D212" s="4">
        <v>78</v>
      </c>
      <c r="E212" s="4">
        <v>1</v>
      </c>
      <c r="F212" s="4">
        <v>1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f t="shared" si="6"/>
        <v>84.67</v>
      </c>
      <c r="N212" t="str">
        <f t="shared" si="7"/>
        <v>Alto</v>
      </c>
    </row>
    <row r="213" spans="1:14" x14ac:dyDescent="0.3">
      <c r="A213" s="4">
        <v>51</v>
      </c>
      <c r="B213" s="4">
        <v>39.46</v>
      </c>
      <c r="C213" s="4">
        <v>146</v>
      </c>
      <c r="D213" s="4">
        <v>70</v>
      </c>
      <c r="E213" s="4">
        <v>0</v>
      </c>
      <c r="F213" s="4">
        <v>0</v>
      </c>
      <c r="G213" s="4">
        <v>1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>
        <f t="shared" si="6"/>
        <v>95.33</v>
      </c>
      <c r="N213" t="str">
        <f t="shared" si="7"/>
        <v>Medio</v>
      </c>
    </row>
    <row r="214" spans="1:14" x14ac:dyDescent="0.3">
      <c r="A214" s="4">
        <v>46</v>
      </c>
      <c r="B214" s="4">
        <v>38.61</v>
      </c>
      <c r="C214" s="4">
        <v>103</v>
      </c>
      <c r="D214" s="4">
        <v>76</v>
      </c>
      <c r="E214" s="4">
        <v>0</v>
      </c>
      <c r="F214" s="4">
        <v>0</v>
      </c>
      <c r="G214" s="4">
        <v>1</v>
      </c>
      <c r="H214" s="4">
        <v>1</v>
      </c>
      <c r="I214" s="4">
        <v>0</v>
      </c>
      <c r="J214" s="4">
        <v>0</v>
      </c>
      <c r="K214" s="4">
        <v>0</v>
      </c>
      <c r="L214" s="4">
        <v>0</v>
      </c>
      <c r="M214" s="4">
        <f t="shared" si="6"/>
        <v>85</v>
      </c>
      <c r="N214" t="str">
        <f t="shared" si="7"/>
        <v>Medio</v>
      </c>
    </row>
    <row r="215" spans="1:14" x14ac:dyDescent="0.3">
      <c r="A215" s="4">
        <v>40</v>
      </c>
      <c r="B215" s="4">
        <v>38.19</v>
      </c>
      <c r="C215" s="4">
        <v>173</v>
      </c>
      <c r="D215" s="4">
        <v>123</v>
      </c>
      <c r="E215" s="4">
        <v>1</v>
      </c>
      <c r="F215" s="4">
        <v>1</v>
      </c>
      <c r="G215" s="4">
        <v>0</v>
      </c>
      <c r="H215" s="4">
        <v>1</v>
      </c>
      <c r="I215" s="4">
        <v>1</v>
      </c>
      <c r="J215" s="4">
        <v>0</v>
      </c>
      <c r="K215" s="4">
        <v>0</v>
      </c>
      <c r="L215" s="4">
        <v>0</v>
      </c>
      <c r="M215" s="4">
        <f t="shared" si="6"/>
        <v>139.66999999999999</v>
      </c>
      <c r="N215" t="str">
        <f t="shared" si="7"/>
        <v>Hospitalización urgente</v>
      </c>
    </row>
    <row r="216" spans="1:14" x14ac:dyDescent="0.3">
      <c r="A216" s="4">
        <v>33</v>
      </c>
      <c r="B216" s="4">
        <v>31.65</v>
      </c>
      <c r="C216" s="4">
        <v>98</v>
      </c>
      <c r="D216" s="4">
        <v>99</v>
      </c>
      <c r="E216" s="4">
        <v>0</v>
      </c>
      <c r="F216" s="4">
        <v>1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f t="shared" si="6"/>
        <v>98.33</v>
      </c>
      <c r="N216" t="str">
        <f t="shared" si="7"/>
        <v>Alto</v>
      </c>
    </row>
    <row r="217" spans="1:14" x14ac:dyDescent="0.3">
      <c r="A217" s="4">
        <v>40</v>
      </c>
      <c r="B217" s="4">
        <v>25.1</v>
      </c>
      <c r="C217" s="4">
        <v>105</v>
      </c>
      <c r="D217" s="4">
        <v>75</v>
      </c>
      <c r="E217" s="4">
        <v>0</v>
      </c>
      <c r="F217" s="4">
        <v>0</v>
      </c>
      <c r="G217" s="4">
        <v>1</v>
      </c>
      <c r="H217" s="4">
        <v>1</v>
      </c>
      <c r="I217" s="4">
        <v>0</v>
      </c>
      <c r="J217" s="4">
        <v>0</v>
      </c>
      <c r="K217" s="4">
        <v>0</v>
      </c>
      <c r="L217" s="4">
        <v>1</v>
      </c>
      <c r="M217" s="4">
        <f t="shared" si="6"/>
        <v>85</v>
      </c>
      <c r="N217" t="str">
        <f t="shared" si="7"/>
        <v>Medio</v>
      </c>
    </row>
    <row r="218" spans="1:14" x14ac:dyDescent="0.3">
      <c r="A218" s="4">
        <v>18</v>
      </c>
      <c r="B218" s="4">
        <v>31.3</v>
      </c>
      <c r="C218" s="4">
        <v>214</v>
      </c>
      <c r="D218" s="4">
        <v>112</v>
      </c>
      <c r="E218" s="4">
        <v>1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f t="shared" si="6"/>
        <v>146</v>
      </c>
      <c r="N218" t="str">
        <f t="shared" si="7"/>
        <v>Hospitalización urgente</v>
      </c>
    </row>
    <row r="219" spans="1:14" x14ac:dyDescent="0.3">
      <c r="A219" s="4">
        <v>33</v>
      </c>
      <c r="B219" s="4">
        <v>26.64</v>
      </c>
      <c r="C219" s="4">
        <v>105</v>
      </c>
      <c r="D219" s="4">
        <v>114</v>
      </c>
      <c r="E219" s="4">
        <v>1</v>
      </c>
      <c r="F219" s="4">
        <v>0</v>
      </c>
      <c r="G219" s="4">
        <v>1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f t="shared" si="6"/>
        <v>108</v>
      </c>
      <c r="N219" t="str">
        <f t="shared" si="7"/>
        <v>Alto</v>
      </c>
    </row>
    <row r="220" spans="1:14" x14ac:dyDescent="0.3">
      <c r="A220" s="4">
        <v>20</v>
      </c>
      <c r="B220" s="4">
        <v>25.16</v>
      </c>
      <c r="C220" s="4">
        <v>171</v>
      </c>
      <c r="D220" s="4">
        <v>139</v>
      </c>
      <c r="E220" s="4">
        <v>1</v>
      </c>
      <c r="F220" s="4">
        <v>1</v>
      </c>
      <c r="G220" s="4">
        <v>0</v>
      </c>
      <c r="H220" s="4">
        <v>1</v>
      </c>
      <c r="I220" s="4">
        <v>0</v>
      </c>
      <c r="J220" s="4">
        <v>0</v>
      </c>
      <c r="K220" s="4">
        <v>0</v>
      </c>
      <c r="L220" s="4">
        <v>0</v>
      </c>
      <c r="M220" s="4">
        <f t="shared" si="6"/>
        <v>149.66999999999999</v>
      </c>
      <c r="N220" t="str">
        <f t="shared" si="7"/>
        <v>Hospitalización urgente</v>
      </c>
    </row>
    <row r="221" spans="1:14" x14ac:dyDescent="0.3">
      <c r="A221" s="4">
        <v>19</v>
      </c>
      <c r="B221" s="4">
        <v>28.59</v>
      </c>
      <c r="C221" s="4">
        <v>96</v>
      </c>
      <c r="D221" s="4">
        <v>101</v>
      </c>
      <c r="E221" s="4">
        <v>1</v>
      </c>
      <c r="F221" s="4">
        <v>1</v>
      </c>
      <c r="G221" s="4">
        <v>1</v>
      </c>
      <c r="H221" s="4">
        <v>0</v>
      </c>
      <c r="I221" s="4">
        <v>0</v>
      </c>
      <c r="J221" s="4">
        <v>0</v>
      </c>
      <c r="K221" s="4">
        <v>0</v>
      </c>
      <c r="L221" s="4">
        <v>1</v>
      </c>
      <c r="M221" s="4">
        <f t="shared" si="6"/>
        <v>97.67</v>
      </c>
      <c r="N221" t="str">
        <f t="shared" si="7"/>
        <v>Alto</v>
      </c>
    </row>
    <row r="222" spans="1:14" x14ac:dyDescent="0.3">
      <c r="A222" s="4">
        <v>34</v>
      </c>
      <c r="B222" s="4">
        <v>42.6</v>
      </c>
      <c r="C222" s="4">
        <v>196</v>
      </c>
      <c r="D222" s="4">
        <v>124</v>
      </c>
      <c r="E222" s="4">
        <v>0</v>
      </c>
      <c r="F222" s="4">
        <v>0</v>
      </c>
      <c r="G222" s="4">
        <v>1</v>
      </c>
      <c r="H222" s="4">
        <v>1</v>
      </c>
      <c r="I222" s="4">
        <v>1</v>
      </c>
      <c r="J222" s="4">
        <v>0</v>
      </c>
      <c r="K222" s="4">
        <v>0</v>
      </c>
      <c r="L222" s="4">
        <v>0</v>
      </c>
      <c r="M222" s="4">
        <f t="shared" si="6"/>
        <v>148</v>
      </c>
      <c r="N222" t="str">
        <f t="shared" si="7"/>
        <v>Hospitalización urgente</v>
      </c>
    </row>
    <row r="223" spans="1:14" x14ac:dyDescent="0.3">
      <c r="A223" s="4">
        <v>45</v>
      </c>
      <c r="B223" s="4">
        <v>37.340000000000003</v>
      </c>
      <c r="C223" s="4">
        <v>122</v>
      </c>
      <c r="D223" s="4">
        <v>107</v>
      </c>
      <c r="E223" s="4">
        <v>0</v>
      </c>
      <c r="F223" s="4">
        <v>0</v>
      </c>
      <c r="G223" s="4">
        <v>1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f t="shared" si="6"/>
        <v>112</v>
      </c>
      <c r="N223" t="str">
        <f t="shared" si="7"/>
        <v>Medio</v>
      </c>
    </row>
    <row r="224" spans="1:14" x14ac:dyDescent="0.3">
      <c r="A224" s="4">
        <v>34</v>
      </c>
      <c r="B224" s="4">
        <v>39.24</v>
      </c>
      <c r="C224" s="4">
        <v>126</v>
      </c>
      <c r="D224" s="4">
        <v>88</v>
      </c>
      <c r="E224" s="4">
        <v>0</v>
      </c>
      <c r="F224" s="4">
        <v>1</v>
      </c>
      <c r="G224" s="4">
        <v>0</v>
      </c>
      <c r="H224" s="4">
        <v>0</v>
      </c>
      <c r="I224" s="4">
        <v>0</v>
      </c>
      <c r="J224" s="4">
        <v>1</v>
      </c>
      <c r="K224" s="4">
        <v>0</v>
      </c>
      <c r="L224" s="4">
        <v>0</v>
      </c>
      <c r="M224" s="4">
        <f t="shared" si="6"/>
        <v>100.67</v>
      </c>
      <c r="N224" t="str">
        <f t="shared" si="7"/>
        <v>Alto</v>
      </c>
    </row>
    <row r="225" spans="1:14" x14ac:dyDescent="0.3">
      <c r="A225" s="4">
        <v>46</v>
      </c>
      <c r="B225" s="4">
        <v>38.909999999999997</v>
      </c>
      <c r="C225" s="4">
        <v>139</v>
      </c>
      <c r="D225" s="4">
        <v>104</v>
      </c>
      <c r="E225" s="4">
        <v>0</v>
      </c>
      <c r="F225" s="4">
        <v>0</v>
      </c>
      <c r="G225" s="4">
        <v>1</v>
      </c>
      <c r="H225" s="4">
        <v>0</v>
      </c>
      <c r="I225" s="4">
        <v>0</v>
      </c>
      <c r="J225" s="4">
        <v>0</v>
      </c>
      <c r="K225" s="4">
        <v>1</v>
      </c>
      <c r="L225" s="4">
        <v>0</v>
      </c>
      <c r="M225" s="4">
        <f t="shared" si="6"/>
        <v>115.67</v>
      </c>
      <c r="N225" t="str">
        <f t="shared" si="7"/>
        <v>Medio</v>
      </c>
    </row>
    <row r="226" spans="1:14" x14ac:dyDescent="0.3">
      <c r="A226" s="4">
        <v>49</v>
      </c>
      <c r="B226" s="4">
        <v>29.36</v>
      </c>
      <c r="C226" s="4">
        <v>125</v>
      </c>
      <c r="D226" s="4">
        <v>88</v>
      </c>
      <c r="E226" s="4">
        <v>0</v>
      </c>
      <c r="F226" s="4">
        <v>0</v>
      </c>
      <c r="G226" s="4">
        <v>1</v>
      </c>
      <c r="H226" s="4">
        <v>1</v>
      </c>
      <c r="I226" s="4">
        <v>0</v>
      </c>
      <c r="J226" s="4">
        <v>0</v>
      </c>
      <c r="K226" s="4">
        <v>0</v>
      </c>
      <c r="L226" s="4">
        <v>0</v>
      </c>
      <c r="M226" s="4">
        <f t="shared" si="6"/>
        <v>100.33</v>
      </c>
      <c r="N226" t="str">
        <f t="shared" si="7"/>
        <v>Medio</v>
      </c>
    </row>
    <row r="227" spans="1:14" x14ac:dyDescent="0.3">
      <c r="A227" s="4">
        <v>45</v>
      </c>
      <c r="B227" s="4">
        <v>30.97</v>
      </c>
      <c r="C227" s="4">
        <v>158</v>
      </c>
      <c r="D227" s="4">
        <v>80</v>
      </c>
      <c r="E227" s="4">
        <v>0</v>
      </c>
      <c r="F227" s="4">
        <v>0</v>
      </c>
      <c r="G227" s="4">
        <v>1</v>
      </c>
      <c r="H227" s="4">
        <v>1</v>
      </c>
      <c r="I227" s="4">
        <v>0</v>
      </c>
      <c r="J227" s="4">
        <v>0</v>
      </c>
      <c r="K227" s="4">
        <v>0</v>
      </c>
      <c r="L227" s="4">
        <v>1</v>
      </c>
      <c r="M227" s="4">
        <f t="shared" si="6"/>
        <v>106</v>
      </c>
      <c r="N227" t="str">
        <f t="shared" si="7"/>
        <v>Medio</v>
      </c>
    </row>
    <row r="228" spans="1:14" x14ac:dyDescent="0.3">
      <c r="A228" s="4">
        <v>37</v>
      </c>
      <c r="B228" s="4">
        <v>36.020000000000003</v>
      </c>
      <c r="C228" s="4">
        <v>128</v>
      </c>
      <c r="D228" s="4">
        <v>82</v>
      </c>
      <c r="E228" s="4">
        <v>0</v>
      </c>
      <c r="F228" s="4">
        <v>0</v>
      </c>
      <c r="G228" s="4">
        <v>1</v>
      </c>
      <c r="H228" s="4">
        <v>1</v>
      </c>
      <c r="I228" s="4">
        <v>0</v>
      </c>
      <c r="J228" s="4">
        <v>0</v>
      </c>
      <c r="K228" s="4">
        <v>0</v>
      </c>
      <c r="L228" s="4">
        <v>1</v>
      </c>
      <c r="M228" s="4">
        <f t="shared" si="6"/>
        <v>97.33</v>
      </c>
      <c r="N228" t="str">
        <f t="shared" si="7"/>
        <v>Medio</v>
      </c>
    </row>
    <row r="229" spans="1:14" x14ac:dyDescent="0.3">
      <c r="A229" s="4">
        <v>44</v>
      </c>
      <c r="B229" s="4">
        <v>26.52</v>
      </c>
      <c r="C229" s="4">
        <v>189</v>
      </c>
      <c r="D229" s="4">
        <v>123</v>
      </c>
      <c r="E229" s="4">
        <v>1</v>
      </c>
      <c r="F229" s="4">
        <v>1</v>
      </c>
      <c r="G229" s="4">
        <v>1</v>
      </c>
      <c r="H229" s="4">
        <v>0</v>
      </c>
      <c r="I229" s="4">
        <v>0</v>
      </c>
      <c r="J229" s="4">
        <v>0</v>
      </c>
      <c r="K229" s="4">
        <v>0</v>
      </c>
      <c r="L229" s="4">
        <v>1</v>
      </c>
      <c r="M229" s="4">
        <f t="shared" si="6"/>
        <v>145</v>
      </c>
      <c r="N229" t="str">
        <f t="shared" si="7"/>
        <v>Hospitalización urgente</v>
      </c>
    </row>
    <row r="230" spans="1:14" x14ac:dyDescent="0.3">
      <c r="A230" s="4">
        <v>39</v>
      </c>
      <c r="B230" s="4">
        <v>23.83</v>
      </c>
      <c r="C230" s="4">
        <v>106</v>
      </c>
      <c r="D230" s="4">
        <v>54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f t="shared" si="6"/>
        <v>71.33</v>
      </c>
      <c r="N230" t="str">
        <f t="shared" si="7"/>
        <v>Ninguno</v>
      </c>
    </row>
    <row r="231" spans="1:14" x14ac:dyDescent="0.3">
      <c r="A231" s="4">
        <v>23</v>
      </c>
      <c r="B231" s="4">
        <v>21.57</v>
      </c>
      <c r="C231" s="4">
        <v>97</v>
      </c>
      <c r="D231" s="4">
        <v>84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0</v>
      </c>
      <c r="K231" s="4">
        <v>0</v>
      </c>
      <c r="L231" s="4">
        <v>0</v>
      </c>
      <c r="M231" s="4">
        <f t="shared" si="6"/>
        <v>88.33</v>
      </c>
      <c r="N231" t="str">
        <f t="shared" si="7"/>
        <v>Alto</v>
      </c>
    </row>
    <row r="232" spans="1:14" x14ac:dyDescent="0.3">
      <c r="A232" s="4">
        <v>44</v>
      </c>
      <c r="B232" s="4">
        <v>31.94</v>
      </c>
      <c r="C232" s="4">
        <v>123</v>
      </c>
      <c r="D232" s="4">
        <v>84</v>
      </c>
      <c r="E232" s="4">
        <v>0</v>
      </c>
      <c r="F232" s="4">
        <v>0</v>
      </c>
      <c r="G232" s="4">
        <v>1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f t="shared" si="6"/>
        <v>97</v>
      </c>
      <c r="N232" t="str">
        <f t="shared" si="7"/>
        <v>Medio</v>
      </c>
    </row>
    <row r="233" spans="1:14" x14ac:dyDescent="0.3">
      <c r="A233" s="4">
        <v>24</v>
      </c>
      <c r="B233" s="4">
        <v>36.81</v>
      </c>
      <c r="C233" s="4">
        <v>124</v>
      </c>
      <c r="D233" s="4">
        <v>77</v>
      </c>
      <c r="E233" s="4">
        <v>1</v>
      </c>
      <c r="F233" s="4">
        <v>0</v>
      </c>
      <c r="G233" s="4">
        <v>1</v>
      </c>
      <c r="H233" s="4">
        <v>0</v>
      </c>
      <c r="I233" s="4">
        <v>1</v>
      </c>
      <c r="J233" s="4">
        <v>0</v>
      </c>
      <c r="K233" s="4">
        <v>1</v>
      </c>
      <c r="L233" s="4">
        <v>1</v>
      </c>
      <c r="M233" s="4">
        <f t="shared" si="6"/>
        <v>92.67</v>
      </c>
      <c r="N233" t="str">
        <f t="shared" si="7"/>
        <v>Alto</v>
      </c>
    </row>
    <row r="234" spans="1:14" x14ac:dyDescent="0.3">
      <c r="A234" s="4">
        <v>38</v>
      </c>
      <c r="B234" s="4">
        <v>23.67</v>
      </c>
      <c r="C234" s="4">
        <v>103</v>
      </c>
      <c r="D234" s="4">
        <v>104</v>
      </c>
      <c r="E234" s="4">
        <v>1</v>
      </c>
      <c r="F234" s="4">
        <v>1</v>
      </c>
      <c r="G234" s="4">
        <v>0</v>
      </c>
      <c r="H234" s="4">
        <v>0</v>
      </c>
      <c r="I234" s="4">
        <v>0</v>
      </c>
      <c r="J234" s="4">
        <v>0</v>
      </c>
      <c r="K234" s="4">
        <v>1</v>
      </c>
      <c r="L234" s="4">
        <v>0</v>
      </c>
      <c r="M234" s="4">
        <f t="shared" si="6"/>
        <v>103.33</v>
      </c>
      <c r="N234" t="str">
        <f t="shared" si="7"/>
        <v>Alto</v>
      </c>
    </row>
    <row r="235" spans="1:14" x14ac:dyDescent="0.3">
      <c r="A235" s="4">
        <v>34</v>
      </c>
      <c r="B235" s="4">
        <v>21.44</v>
      </c>
      <c r="C235" s="4">
        <v>94</v>
      </c>
      <c r="D235" s="4">
        <v>65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f t="shared" si="6"/>
        <v>74.67</v>
      </c>
      <c r="N235" t="str">
        <f t="shared" si="7"/>
        <v>Ninguno</v>
      </c>
    </row>
    <row r="236" spans="1:14" x14ac:dyDescent="0.3">
      <c r="A236" s="4">
        <v>55</v>
      </c>
      <c r="B236" s="4">
        <v>26.17</v>
      </c>
      <c r="C236" s="4">
        <v>151</v>
      </c>
      <c r="D236" s="4">
        <v>60</v>
      </c>
      <c r="E236" s="4">
        <v>0</v>
      </c>
      <c r="F236" s="4">
        <v>0</v>
      </c>
      <c r="G236" s="4">
        <v>1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f t="shared" si="6"/>
        <v>90.33</v>
      </c>
      <c r="N236" t="str">
        <f t="shared" si="7"/>
        <v>Medio</v>
      </c>
    </row>
    <row r="237" spans="1:14" x14ac:dyDescent="0.3">
      <c r="A237" s="4">
        <v>33</v>
      </c>
      <c r="B237" s="4">
        <v>38.020000000000003</v>
      </c>
      <c r="C237" s="4">
        <v>218</v>
      </c>
      <c r="D237" s="4">
        <v>120</v>
      </c>
      <c r="E237" s="4">
        <v>0</v>
      </c>
      <c r="F237" s="4">
        <v>1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f t="shared" si="6"/>
        <v>152.66999999999999</v>
      </c>
      <c r="N237" t="str">
        <f t="shared" si="7"/>
        <v>Hospitalización urgente</v>
      </c>
    </row>
    <row r="238" spans="1:14" x14ac:dyDescent="0.3">
      <c r="A238" s="4">
        <v>46</v>
      </c>
      <c r="B238" s="4">
        <v>36.17</v>
      </c>
      <c r="C238" s="4">
        <v>124</v>
      </c>
      <c r="D238" s="4">
        <v>76</v>
      </c>
      <c r="E238" s="4">
        <v>1</v>
      </c>
      <c r="F238" s="4">
        <v>0</v>
      </c>
      <c r="G238" s="4">
        <v>1</v>
      </c>
      <c r="H238" s="4">
        <v>1</v>
      </c>
      <c r="I238" s="4">
        <v>0</v>
      </c>
      <c r="J238" s="4">
        <v>0</v>
      </c>
      <c r="K238" s="4">
        <v>0</v>
      </c>
      <c r="L238" s="4">
        <v>0</v>
      </c>
      <c r="M238" s="4">
        <f t="shared" si="6"/>
        <v>92</v>
      </c>
      <c r="N238" t="str">
        <f t="shared" si="7"/>
        <v>Alto</v>
      </c>
    </row>
    <row r="239" spans="1:14" x14ac:dyDescent="0.3">
      <c r="A239" s="4">
        <v>38</v>
      </c>
      <c r="B239" s="4">
        <v>39.33</v>
      </c>
      <c r="C239" s="4">
        <v>181</v>
      </c>
      <c r="D239" s="4">
        <v>113</v>
      </c>
      <c r="E239" s="4">
        <v>1</v>
      </c>
      <c r="F239" s="4">
        <v>0</v>
      </c>
      <c r="G239" s="4">
        <v>1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>
        <f t="shared" si="6"/>
        <v>135.66999999999999</v>
      </c>
      <c r="N239" t="str">
        <f t="shared" si="7"/>
        <v>Hospitalización urgente</v>
      </c>
    </row>
    <row r="240" spans="1:14" x14ac:dyDescent="0.3">
      <c r="A240" s="4">
        <v>24</v>
      </c>
      <c r="B240" s="4">
        <v>33.71</v>
      </c>
      <c r="C240" s="4">
        <v>182</v>
      </c>
      <c r="D240" s="4">
        <v>110</v>
      </c>
      <c r="E240" s="4">
        <v>1</v>
      </c>
      <c r="F240" s="4">
        <v>1</v>
      </c>
      <c r="G240" s="4">
        <v>1</v>
      </c>
      <c r="H240" s="4">
        <v>0</v>
      </c>
      <c r="I240" s="4">
        <v>0</v>
      </c>
      <c r="J240" s="4">
        <v>1</v>
      </c>
      <c r="K240" s="4">
        <v>0</v>
      </c>
      <c r="L240" s="4">
        <v>1</v>
      </c>
      <c r="M240" s="4">
        <f t="shared" si="6"/>
        <v>134</v>
      </c>
      <c r="N240" t="str">
        <f t="shared" si="7"/>
        <v>Hospitalización urgente</v>
      </c>
    </row>
    <row r="241" spans="1:14" x14ac:dyDescent="0.3">
      <c r="A241" s="4">
        <v>22</v>
      </c>
      <c r="B241" s="4">
        <v>39.68</v>
      </c>
      <c r="C241" s="4">
        <v>196</v>
      </c>
      <c r="D241" s="4">
        <v>123</v>
      </c>
      <c r="E241" s="4">
        <v>0</v>
      </c>
      <c r="F241" s="4">
        <v>0</v>
      </c>
      <c r="G241" s="4">
        <v>1</v>
      </c>
      <c r="H241" s="4">
        <v>1</v>
      </c>
      <c r="I241" s="4">
        <v>0</v>
      </c>
      <c r="J241" s="4">
        <v>0</v>
      </c>
      <c r="K241" s="4">
        <v>0</v>
      </c>
      <c r="L241" s="4">
        <v>0</v>
      </c>
      <c r="M241" s="4">
        <f t="shared" si="6"/>
        <v>147.33000000000001</v>
      </c>
      <c r="N241" t="str">
        <f t="shared" si="7"/>
        <v>Hospitalización urgente</v>
      </c>
    </row>
    <row r="242" spans="1:14" x14ac:dyDescent="0.3">
      <c r="A242" s="4">
        <v>47</v>
      </c>
      <c r="B242" s="4">
        <v>35.39</v>
      </c>
      <c r="C242" s="4">
        <v>189</v>
      </c>
      <c r="D242" s="4">
        <v>123</v>
      </c>
      <c r="E242" s="4">
        <v>1</v>
      </c>
      <c r="F242" s="4">
        <v>0</v>
      </c>
      <c r="G242" s="4">
        <v>1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f t="shared" si="6"/>
        <v>145</v>
      </c>
      <c r="N242" t="str">
        <f t="shared" si="7"/>
        <v>Hospitalización urgente</v>
      </c>
    </row>
    <row r="243" spans="1:14" x14ac:dyDescent="0.3">
      <c r="A243" s="4">
        <v>54</v>
      </c>
      <c r="B243" s="4">
        <v>30.02</v>
      </c>
      <c r="C243" s="4">
        <v>133</v>
      </c>
      <c r="D243" s="4">
        <v>64</v>
      </c>
      <c r="E243" s="4">
        <v>0</v>
      </c>
      <c r="F243" s="4">
        <v>0</v>
      </c>
      <c r="G243" s="4">
        <v>1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f t="shared" si="6"/>
        <v>87</v>
      </c>
      <c r="N243" t="str">
        <f t="shared" si="7"/>
        <v>Medio</v>
      </c>
    </row>
    <row r="244" spans="1:14" x14ac:dyDescent="0.3">
      <c r="A244" s="4">
        <v>38</v>
      </c>
      <c r="B244" s="4">
        <v>24.06</v>
      </c>
      <c r="C244" s="4">
        <v>111</v>
      </c>
      <c r="D244" s="4">
        <v>61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f t="shared" si="6"/>
        <v>77.67</v>
      </c>
      <c r="N244" t="str">
        <f t="shared" si="7"/>
        <v>Ninguno</v>
      </c>
    </row>
    <row r="245" spans="1:14" x14ac:dyDescent="0.3">
      <c r="A245" s="4">
        <v>27</v>
      </c>
      <c r="B245" s="4">
        <v>22.79</v>
      </c>
      <c r="C245" s="4">
        <v>182</v>
      </c>
      <c r="D245" s="4">
        <v>113</v>
      </c>
      <c r="E245" s="4">
        <v>1</v>
      </c>
      <c r="F245" s="4">
        <v>0</v>
      </c>
      <c r="G245" s="4">
        <v>0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>
        <f t="shared" si="6"/>
        <v>136</v>
      </c>
      <c r="N245" t="str">
        <f t="shared" si="7"/>
        <v>Hospitalización urgente</v>
      </c>
    </row>
    <row r="246" spans="1:14" x14ac:dyDescent="0.3">
      <c r="A246" s="4">
        <v>24</v>
      </c>
      <c r="B246" s="4">
        <v>21.4</v>
      </c>
      <c r="C246" s="4">
        <v>105</v>
      </c>
      <c r="D246" s="4">
        <v>53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f t="shared" si="6"/>
        <v>70.33</v>
      </c>
      <c r="N246" t="str">
        <f t="shared" si="7"/>
        <v>Ninguno</v>
      </c>
    </row>
    <row r="247" spans="1:14" x14ac:dyDescent="0.3">
      <c r="A247" s="4">
        <v>36</v>
      </c>
      <c r="B247" s="4">
        <v>25.93</v>
      </c>
      <c r="C247" s="4">
        <v>116</v>
      </c>
      <c r="D247" s="4">
        <v>73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f t="shared" si="6"/>
        <v>87.33</v>
      </c>
      <c r="N247" t="str">
        <f t="shared" si="7"/>
        <v>Ninguno</v>
      </c>
    </row>
    <row r="248" spans="1:14" x14ac:dyDescent="0.3">
      <c r="A248" s="4">
        <v>54</v>
      </c>
      <c r="B248" s="4">
        <v>33.880000000000003</v>
      </c>
      <c r="C248" s="4">
        <v>160</v>
      </c>
      <c r="D248" s="4">
        <v>125</v>
      </c>
      <c r="E248" s="4">
        <v>1</v>
      </c>
      <c r="F248" s="4">
        <v>0</v>
      </c>
      <c r="G248" s="4">
        <v>1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>
        <f t="shared" si="6"/>
        <v>136.66999999999999</v>
      </c>
      <c r="N248" t="str">
        <f t="shared" si="7"/>
        <v>Hospitalización urgente</v>
      </c>
    </row>
    <row r="249" spans="1:14" x14ac:dyDescent="0.3">
      <c r="A249" s="4">
        <v>34</v>
      </c>
      <c r="B249" s="4">
        <v>38.22</v>
      </c>
      <c r="C249" s="4">
        <v>144</v>
      </c>
      <c r="D249" s="4">
        <v>105</v>
      </c>
      <c r="E249" s="4">
        <v>0</v>
      </c>
      <c r="F249" s="4">
        <v>0</v>
      </c>
      <c r="G249" s="4">
        <v>1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>
        <f t="shared" si="6"/>
        <v>118</v>
      </c>
      <c r="N249" t="str">
        <f t="shared" si="7"/>
        <v>Medio</v>
      </c>
    </row>
    <row r="250" spans="1:14" x14ac:dyDescent="0.3">
      <c r="A250" s="4">
        <v>35</v>
      </c>
      <c r="B250" s="4">
        <v>33.17</v>
      </c>
      <c r="C250" s="4">
        <v>147</v>
      </c>
      <c r="D250" s="4">
        <v>101</v>
      </c>
      <c r="E250" s="4">
        <v>0</v>
      </c>
      <c r="F250" s="4">
        <v>1</v>
      </c>
      <c r="G250" s="4">
        <v>1</v>
      </c>
      <c r="H250" s="4">
        <v>0</v>
      </c>
      <c r="I250" s="4">
        <v>1</v>
      </c>
      <c r="J250" s="4">
        <v>1</v>
      </c>
      <c r="K250" s="4">
        <v>0</v>
      </c>
      <c r="L250" s="4">
        <v>0</v>
      </c>
      <c r="M250" s="4">
        <f t="shared" si="6"/>
        <v>116.33</v>
      </c>
      <c r="N250" t="str">
        <f t="shared" si="7"/>
        <v>Alto</v>
      </c>
    </row>
    <row r="251" spans="1:14" x14ac:dyDescent="0.3">
      <c r="A251" s="4">
        <v>19</v>
      </c>
      <c r="B251" s="4">
        <v>31.52</v>
      </c>
      <c r="C251" s="4">
        <v>144</v>
      </c>
      <c r="D251" s="4">
        <v>68</v>
      </c>
      <c r="E251" s="4">
        <v>1</v>
      </c>
      <c r="F251" s="4">
        <v>1</v>
      </c>
      <c r="G251" s="4">
        <v>1</v>
      </c>
      <c r="H251" s="4">
        <v>1</v>
      </c>
      <c r="I251" s="4">
        <v>1</v>
      </c>
      <c r="J251" s="4">
        <v>0</v>
      </c>
      <c r="K251" s="4">
        <v>0</v>
      </c>
      <c r="L251" s="4">
        <v>0</v>
      </c>
      <c r="M251" s="4">
        <f t="shared" si="6"/>
        <v>93.33</v>
      </c>
      <c r="N251" t="str">
        <f t="shared" si="7"/>
        <v>Alto</v>
      </c>
    </row>
    <row r="252" spans="1:14" x14ac:dyDescent="0.3">
      <c r="A252" s="4">
        <v>46</v>
      </c>
      <c r="B252" s="4">
        <v>27.87</v>
      </c>
      <c r="C252" s="4">
        <v>133</v>
      </c>
      <c r="D252" s="4">
        <v>103</v>
      </c>
      <c r="E252" s="4">
        <v>0</v>
      </c>
      <c r="F252" s="4">
        <v>0</v>
      </c>
      <c r="G252" s="4">
        <v>1</v>
      </c>
      <c r="H252" s="4">
        <v>1</v>
      </c>
      <c r="I252" s="4">
        <v>0</v>
      </c>
      <c r="J252" s="4">
        <v>0</v>
      </c>
      <c r="K252" s="4">
        <v>0</v>
      </c>
      <c r="L252" s="4">
        <v>0</v>
      </c>
      <c r="M252" s="4">
        <f t="shared" si="6"/>
        <v>113</v>
      </c>
      <c r="N252" t="str">
        <f t="shared" si="7"/>
        <v>Medio</v>
      </c>
    </row>
    <row r="253" spans="1:14" x14ac:dyDescent="0.3">
      <c r="A253" s="4">
        <v>47</v>
      </c>
      <c r="B253" s="4">
        <v>30.65</v>
      </c>
      <c r="C253" s="4">
        <v>116</v>
      </c>
      <c r="D253" s="4">
        <v>66</v>
      </c>
      <c r="E253" s="4">
        <v>1</v>
      </c>
      <c r="F253" s="4">
        <v>1</v>
      </c>
      <c r="G253" s="4">
        <v>1</v>
      </c>
      <c r="H253" s="4">
        <v>0</v>
      </c>
      <c r="I253" s="4">
        <v>0</v>
      </c>
      <c r="J253" s="4">
        <v>0</v>
      </c>
      <c r="K253" s="4">
        <v>0</v>
      </c>
      <c r="L253" s="4">
        <v>1</v>
      </c>
      <c r="M253" s="4">
        <f t="shared" si="6"/>
        <v>82.67</v>
      </c>
      <c r="N253" t="str">
        <f t="shared" si="7"/>
        <v>Alto</v>
      </c>
    </row>
    <row r="254" spans="1:14" x14ac:dyDescent="0.3">
      <c r="A254" s="4">
        <v>53</v>
      </c>
      <c r="B254" s="4">
        <v>28.14</v>
      </c>
      <c r="C254" s="4">
        <v>147</v>
      </c>
      <c r="D254" s="4">
        <v>88</v>
      </c>
      <c r="E254" s="4">
        <v>0</v>
      </c>
      <c r="F254" s="4">
        <v>0</v>
      </c>
      <c r="G254" s="4">
        <v>1</v>
      </c>
      <c r="H254" s="4">
        <v>1</v>
      </c>
      <c r="I254" s="4">
        <v>0</v>
      </c>
      <c r="J254" s="4">
        <v>0</v>
      </c>
      <c r="K254" s="4">
        <v>0</v>
      </c>
      <c r="L254" s="4">
        <v>1</v>
      </c>
      <c r="M254" s="4">
        <f t="shared" si="6"/>
        <v>107.67</v>
      </c>
      <c r="N254" t="str">
        <f t="shared" si="7"/>
        <v>Medio</v>
      </c>
    </row>
    <row r="255" spans="1:14" x14ac:dyDescent="0.3">
      <c r="A255" s="4">
        <v>38</v>
      </c>
      <c r="B255" s="4">
        <v>22.44</v>
      </c>
      <c r="C255" s="4">
        <v>117</v>
      </c>
      <c r="D255" s="4">
        <v>77</v>
      </c>
      <c r="E255" s="4">
        <v>1</v>
      </c>
      <c r="F255" s="4">
        <v>0</v>
      </c>
      <c r="G255" s="4">
        <v>0</v>
      </c>
      <c r="H255" s="4">
        <v>0</v>
      </c>
      <c r="I255" s="4">
        <v>0</v>
      </c>
      <c r="J255" s="4">
        <v>1</v>
      </c>
      <c r="K255" s="4">
        <v>0</v>
      </c>
      <c r="L255" s="4">
        <v>0</v>
      </c>
      <c r="M255" s="4">
        <f t="shared" si="6"/>
        <v>90.33</v>
      </c>
      <c r="N255" t="str">
        <f t="shared" si="7"/>
        <v>Alto</v>
      </c>
    </row>
    <row r="256" spans="1:14" x14ac:dyDescent="0.3">
      <c r="A256" s="4">
        <v>38</v>
      </c>
      <c r="B256" s="4">
        <v>25.32</v>
      </c>
      <c r="C256" s="4">
        <v>119</v>
      </c>
      <c r="D256" s="4">
        <v>68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f t="shared" si="6"/>
        <v>85</v>
      </c>
      <c r="N256" t="str">
        <f t="shared" si="7"/>
        <v>Ninguno</v>
      </c>
    </row>
    <row r="257" spans="1:14" x14ac:dyDescent="0.3">
      <c r="A257" s="4">
        <v>47</v>
      </c>
      <c r="B257" s="4">
        <v>28.3</v>
      </c>
      <c r="C257" s="4">
        <v>207</v>
      </c>
      <c r="D257" s="4">
        <v>135</v>
      </c>
      <c r="E257" s="4">
        <v>1</v>
      </c>
      <c r="F257" s="4">
        <v>0</v>
      </c>
      <c r="G257" s="4">
        <v>1</v>
      </c>
      <c r="H257" s="4">
        <v>0</v>
      </c>
      <c r="I257" s="4">
        <v>1</v>
      </c>
      <c r="J257" s="4">
        <v>0</v>
      </c>
      <c r="K257" s="4">
        <v>0</v>
      </c>
      <c r="L257" s="4">
        <v>0</v>
      </c>
      <c r="M257" s="4">
        <f t="shared" si="6"/>
        <v>159</v>
      </c>
      <c r="N257" t="str">
        <f t="shared" si="7"/>
        <v>Hospitalización urgente</v>
      </c>
    </row>
    <row r="258" spans="1:14" x14ac:dyDescent="0.3">
      <c r="A258" s="4">
        <v>32</v>
      </c>
      <c r="B258" s="4">
        <v>25.25</v>
      </c>
      <c r="C258" s="4">
        <v>95</v>
      </c>
      <c r="D258" s="4">
        <v>87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f t="shared" si="6"/>
        <v>89.67</v>
      </c>
      <c r="N258" t="str">
        <f t="shared" si="7"/>
        <v>Ninguno</v>
      </c>
    </row>
    <row r="259" spans="1:14" x14ac:dyDescent="0.3">
      <c r="A259" s="4">
        <v>36</v>
      </c>
      <c r="B259" s="4">
        <v>20.14</v>
      </c>
      <c r="C259" s="4">
        <v>91</v>
      </c>
      <c r="D259" s="4">
        <v>76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f t="shared" ref="M259:M322" si="8">ROUND((MAX(C259, D259) + (2 * MIN(C259, D259))) / 3, 2)</f>
        <v>81</v>
      </c>
      <c r="N259" t="str">
        <f t="shared" ref="N259:N322" si="9">IF(OR(MAX(C259, D259)&gt;=160, MIN(C259, D259)&gt;=110), "Hospitalización urgente", IF(OR(E259=1, F259=1, I259=1, J259=1, (IF(A259&gt;40, 1.82, 0) + IF(B259&gt;=30, 2.47, 0) + IF(MAX(C259, D259)&gt;=140, 2.4, 0) + IF(MIN(C259, D259)&gt;=90, 1.4, 0) + IF(E259=1, 3.6, 0) + IF(F259=1, 3.6, 0) + IF(G259=1, 3, 0) + IF(H259=1, 3, 0) + IF(I259=1, 3.6, 0) + IF(J259=1, 2.9, 0))&gt;19.01), "Alto", IF(OR(K259=1, L259=1, M259&gt;95, (IF(A259&gt;40, 1.82, 0) + IF(B259&gt;=30, 2.47, 0) + IF(MAX(C259, D259)&gt;=140, 2.4, 0) + IF(MIN(C259, D259)&gt;=90, 1.4, 0) + IF(E259=1, 3.6, 0) + IF(F259=1, 3.6, 0) + IF(G259=1, 3, 0) + IF(H259=1, 3, 0) + IF(I259=1, 3.6, 0) + IF(J259=1, 2.9, 0))&gt;0), "Medio", "Ninguno")))</f>
        <v>Ninguno</v>
      </c>
    </row>
    <row r="260" spans="1:14" x14ac:dyDescent="0.3">
      <c r="A260" s="4">
        <v>27</v>
      </c>
      <c r="B260" s="4">
        <v>31.69</v>
      </c>
      <c r="C260" s="4">
        <v>108</v>
      </c>
      <c r="D260" s="4">
        <v>82</v>
      </c>
      <c r="E260" s="4">
        <v>1</v>
      </c>
      <c r="F260" s="4">
        <v>1</v>
      </c>
      <c r="G260" s="4">
        <v>0</v>
      </c>
      <c r="H260" s="4">
        <v>0</v>
      </c>
      <c r="I260" s="4">
        <v>1</v>
      </c>
      <c r="J260" s="4">
        <v>0</v>
      </c>
      <c r="K260" s="4">
        <v>0</v>
      </c>
      <c r="L260" s="4">
        <v>0</v>
      </c>
      <c r="M260" s="4">
        <f t="shared" si="8"/>
        <v>90.67</v>
      </c>
      <c r="N260" t="str">
        <f t="shared" si="9"/>
        <v>Alto</v>
      </c>
    </row>
    <row r="261" spans="1:14" x14ac:dyDescent="0.3">
      <c r="A261" s="4">
        <v>43</v>
      </c>
      <c r="B261" s="4">
        <v>30.97</v>
      </c>
      <c r="C261" s="4">
        <v>101</v>
      </c>
      <c r="D261" s="4">
        <v>96</v>
      </c>
      <c r="E261" s="4">
        <v>0</v>
      </c>
      <c r="F261" s="4">
        <v>0</v>
      </c>
      <c r="G261" s="4">
        <v>1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f t="shared" si="8"/>
        <v>97.67</v>
      </c>
      <c r="N261" t="str">
        <f t="shared" si="9"/>
        <v>Medio</v>
      </c>
    </row>
    <row r="262" spans="1:14" x14ac:dyDescent="0.3">
      <c r="A262" s="4">
        <v>35</v>
      </c>
      <c r="B262" s="4">
        <v>30.07</v>
      </c>
      <c r="C262" s="4">
        <v>142</v>
      </c>
      <c r="D262" s="4">
        <v>87</v>
      </c>
      <c r="E262" s="4">
        <v>0</v>
      </c>
      <c r="F262" s="4">
        <v>0</v>
      </c>
      <c r="G262" s="4">
        <v>1</v>
      </c>
      <c r="H262" s="4">
        <v>1</v>
      </c>
      <c r="I262" s="4">
        <v>0</v>
      </c>
      <c r="J262" s="4">
        <v>0</v>
      </c>
      <c r="K262" s="4">
        <v>0</v>
      </c>
      <c r="L262" s="4">
        <v>1</v>
      </c>
      <c r="M262" s="4">
        <f t="shared" si="8"/>
        <v>105.33</v>
      </c>
      <c r="N262" t="str">
        <f t="shared" si="9"/>
        <v>Medio</v>
      </c>
    </row>
    <row r="263" spans="1:14" x14ac:dyDescent="0.3">
      <c r="A263" s="4">
        <v>33</v>
      </c>
      <c r="B263" s="4">
        <v>25.03</v>
      </c>
      <c r="C263" s="4">
        <v>110</v>
      </c>
      <c r="D263" s="4">
        <v>63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f t="shared" si="8"/>
        <v>78.67</v>
      </c>
      <c r="N263" t="str">
        <f t="shared" si="9"/>
        <v>Ninguno</v>
      </c>
    </row>
    <row r="264" spans="1:14" x14ac:dyDescent="0.3">
      <c r="A264" s="4">
        <v>31</v>
      </c>
      <c r="B264" s="4">
        <v>27.42</v>
      </c>
      <c r="C264" s="4">
        <v>98</v>
      </c>
      <c r="D264" s="4">
        <v>70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f t="shared" si="8"/>
        <v>79.33</v>
      </c>
      <c r="N264" t="str">
        <f t="shared" si="9"/>
        <v>Ninguno</v>
      </c>
    </row>
    <row r="265" spans="1:14" x14ac:dyDescent="0.3">
      <c r="A265" s="4">
        <v>27</v>
      </c>
      <c r="B265" s="4">
        <v>22.79</v>
      </c>
      <c r="C265" s="4">
        <v>93</v>
      </c>
      <c r="D265" s="4">
        <v>72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f t="shared" si="8"/>
        <v>79</v>
      </c>
      <c r="N265" t="str">
        <f t="shared" si="9"/>
        <v>Ninguno</v>
      </c>
    </row>
    <row r="266" spans="1:14" x14ac:dyDescent="0.3">
      <c r="A266" s="4">
        <v>43</v>
      </c>
      <c r="B266" s="4">
        <v>36.26</v>
      </c>
      <c r="C266" s="4">
        <v>100</v>
      </c>
      <c r="D266" s="4">
        <v>88</v>
      </c>
      <c r="E266" s="4">
        <v>0</v>
      </c>
      <c r="F266" s="4">
        <v>0</v>
      </c>
      <c r="G266" s="4">
        <v>1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f t="shared" si="8"/>
        <v>92</v>
      </c>
      <c r="N266" t="str">
        <f t="shared" si="9"/>
        <v>Medio</v>
      </c>
    </row>
    <row r="267" spans="1:14" x14ac:dyDescent="0.3">
      <c r="A267" s="4">
        <v>47</v>
      </c>
      <c r="B267" s="4">
        <v>36.57</v>
      </c>
      <c r="C267" s="4">
        <v>112</v>
      </c>
      <c r="D267" s="4">
        <v>109</v>
      </c>
      <c r="E267" s="4">
        <v>0</v>
      </c>
      <c r="F267" s="4">
        <v>0</v>
      </c>
      <c r="G267" s="4">
        <v>1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f t="shared" si="8"/>
        <v>110</v>
      </c>
      <c r="N267" t="str">
        <f t="shared" si="9"/>
        <v>Medio</v>
      </c>
    </row>
    <row r="268" spans="1:14" x14ac:dyDescent="0.3">
      <c r="A268" s="4">
        <v>40</v>
      </c>
      <c r="B268" s="4">
        <v>35.11</v>
      </c>
      <c r="C268" s="4">
        <v>199</v>
      </c>
      <c r="D268" s="4">
        <v>110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f t="shared" si="8"/>
        <v>139.66999999999999</v>
      </c>
      <c r="N268" t="str">
        <f t="shared" si="9"/>
        <v>Hospitalización urgente</v>
      </c>
    </row>
    <row r="269" spans="1:14" x14ac:dyDescent="0.3">
      <c r="A269" s="4">
        <v>22</v>
      </c>
      <c r="B269" s="4">
        <v>36.08</v>
      </c>
      <c r="C269" s="4">
        <v>162</v>
      </c>
      <c r="D269" s="4">
        <v>73</v>
      </c>
      <c r="E269" s="4">
        <v>1</v>
      </c>
      <c r="F269" s="4">
        <v>1</v>
      </c>
      <c r="G269" s="4">
        <v>1</v>
      </c>
      <c r="H269" s="4">
        <v>0</v>
      </c>
      <c r="I269" s="4">
        <v>1</v>
      </c>
      <c r="J269" s="4">
        <v>1</v>
      </c>
      <c r="K269" s="4">
        <v>0</v>
      </c>
      <c r="L269" s="4">
        <v>0</v>
      </c>
      <c r="M269" s="4">
        <f t="shared" si="8"/>
        <v>102.67</v>
      </c>
      <c r="N269" t="str">
        <f t="shared" si="9"/>
        <v>Hospitalización urgente</v>
      </c>
    </row>
    <row r="270" spans="1:14" x14ac:dyDescent="0.3">
      <c r="A270" s="4">
        <v>41</v>
      </c>
      <c r="B270" s="4">
        <v>41.3</v>
      </c>
      <c r="C270" s="4">
        <v>97</v>
      </c>
      <c r="D270" s="4">
        <v>86</v>
      </c>
      <c r="E270" s="4">
        <v>1</v>
      </c>
      <c r="F270" s="4">
        <v>1</v>
      </c>
      <c r="G270" s="4">
        <v>1</v>
      </c>
      <c r="H270" s="4">
        <v>0</v>
      </c>
      <c r="I270" s="4">
        <v>1</v>
      </c>
      <c r="J270" s="4">
        <v>1</v>
      </c>
      <c r="K270" s="4">
        <v>0</v>
      </c>
      <c r="L270" s="4">
        <v>0</v>
      </c>
      <c r="M270" s="4">
        <f t="shared" si="8"/>
        <v>89.67</v>
      </c>
      <c r="N270" t="str">
        <f t="shared" si="9"/>
        <v>Alto</v>
      </c>
    </row>
    <row r="271" spans="1:14" x14ac:dyDescent="0.3">
      <c r="A271" s="4">
        <v>23</v>
      </c>
      <c r="B271" s="4">
        <v>24.97</v>
      </c>
      <c r="C271" s="4">
        <v>103</v>
      </c>
      <c r="D271" s="4">
        <v>76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f t="shared" si="8"/>
        <v>85</v>
      </c>
      <c r="N271" t="str">
        <f t="shared" si="9"/>
        <v>Ninguno</v>
      </c>
    </row>
    <row r="272" spans="1:14" x14ac:dyDescent="0.3">
      <c r="A272" s="4">
        <v>25</v>
      </c>
      <c r="B272" s="4">
        <v>22.46</v>
      </c>
      <c r="C272" s="4">
        <v>92</v>
      </c>
      <c r="D272" s="4">
        <v>61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f t="shared" si="8"/>
        <v>71.33</v>
      </c>
      <c r="N272" t="str">
        <f t="shared" si="9"/>
        <v>Ninguno</v>
      </c>
    </row>
    <row r="273" spans="1:14" x14ac:dyDescent="0.3">
      <c r="A273" s="4">
        <v>37</v>
      </c>
      <c r="B273" s="4">
        <v>25.32</v>
      </c>
      <c r="C273" s="4">
        <v>114</v>
      </c>
      <c r="D273" s="4">
        <v>75</v>
      </c>
      <c r="E273" s="4">
        <v>0</v>
      </c>
      <c r="F273" s="4">
        <v>1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f t="shared" si="8"/>
        <v>88</v>
      </c>
      <c r="N273" t="str">
        <f t="shared" si="9"/>
        <v>Alto</v>
      </c>
    </row>
    <row r="274" spans="1:14" x14ac:dyDescent="0.3">
      <c r="A274" s="4">
        <v>19</v>
      </c>
      <c r="B274" s="4">
        <v>39.61</v>
      </c>
      <c r="C274" s="4">
        <v>116</v>
      </c>
      <c r="D274" s="4">
        <v>107</v>
      </c>
      <c r="E274" s="4">
        <v>0</v>
      </c>
      <c r="F274" s="4">
        <v>1</v>
      </c>
      <c r="G274" s="4">
        <v>1</v>
      </c>
      <c r="H274" s="4">
        <v>0</v>
      </c>
      <c r="I274" s="4">
        <v>0</v>
      </c>
      <c r="J274" s="4">
        <v>1</v>
      </c>
      <c r="K274" s="4">
        <v>0</v>
      </c>
      <c r="L274" s="4">
        <v>0</v>
      </c>
      <c r="M274" s="4">
        <f t="shared" si="8"/>
        <v>110</v>
      </c>
      <c r="N274" t="str">
        <f t="shared" si="9"/>
        <v>Alto</v>
      </c>
    </row>
    <row r="275" spans="1:14" x14ac:dyDescent="0.3">
      <c r="A275" s="4">
        <v>42</v>
      </c>
      <c r="B275" s="4">
        <v>24.9</v>
      </c>
      <c r="C275" s="4">
        <v>199</v>
      </c>
      <c r="D275" s="4">
        <v>120</v>
      </c>
      <c r="E275" s="4">
        <v>1</v>
      </c>
      <c r="F275" s="4">
        <v>0</v>
      </c>
      <c r="G275" s="4">
        <v>1</v>
      </c>
      <c r="H275" s="4">
        <v>1</v>
      </c>
      <c r="I275" s="4">
        <v>1</v>
      </c>
      <c r="J275" s="4">
        <v>0</v>
      </c>
      <c r="K275" s="4">
        <v>0</v>
      </c>
      <c r="L275" s="4">
        <v>0</v>
      </c>
      <c r="M275" s="4">
        <f t="shared" si="8"/>
        <v>146.33000000000001</v>
      </c>
      <c r="N275" t="str">
        <f t="shared" si="9"/>
        <v>Hospitalización urgente</v>
      </c>
    </row>
    <row r="276" spans="1:14" x14ac:dyDescent="0.3">
      <c r="A276" s="4">
        <v>42</v>
      </c>
      <c r="B276" s="4">
        <v>39.950000000000003</v>
      </c>
      <c r="C276" s="4">
        <v>156</v>
      </c>
      <c r="D276" s="4">
        <v>64</v>
      </c>
      <c r="E276" s="4">
        <v>0</v>
      </c>
      <c r="F276" s="4">
        <v>0</v>
      </c>
      <c r="G276" s="4">
        <v>1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f t="shared" si="8"/>
        <v>94.67</v>
      </c>
      <c r="N276" t="str">
        <f t="shared" si="9"/>
        <v>Medio</v>
      </c>
    </row>
    <row r="277" spans="1:14" x14ac:dyDescent="0.3">
      <c r="A277" s="4">
        <v>36</v>
      </c>
      <c r="B277" s="4">
        <v>28.6</v>
      </c>
      <c r="C277" s="4">
        <v>96</v>
      </c>
      <c r="D277" s="4">
        <v>87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f t="shared" si="8"/>
        <v>90</v>
      </c>
      <c r="N277" t="str">
        <f t="shared" si="9"/>
        <v>Ninguno</v>
      </c>
    </row>
    <row r="278" spans="1:14" x14ac:dyDescent="0.3">
      <c r="A278" s="4">
        <v>54</v>
      </c>
      <c r="B278" s="4">
        <v>22.16</v>
      </c>
      <c r="C278" s="4">
        <v>163</v>
      </c>
      <c r="D278" s="4">
        <v>114</v>
      </c>
      <c r="E278" s="4">
        <v>0</v>
      </c>
      <c r="F278" s="4">
        <v>0</v>
      </c>
      <c r="G278" s="4">
        <v>1</v>
      </c>
      <c r="H278" s="4">
        <v>1</v>
      </c>
      <c r="I278" s="4">
        <v>0</v>
      </c>
      <c r="J278" s="4">
        <v>0</v>
      </c>
      <c r="K278" s="4">
        <v>0</v>
      </c>
      <c r="L278" s="4">
        <v>0</v>
      </c>
      <c r="M278" s="4">
        <f t="shared" si="8"/>
        <v>130.33000000000001</v>
      </c>
      <c r="N278" t="str">
        <f t="shared" si="9"/>
        <v>Hospitalización urgente</v>
      </c>
    </row>
    <row r="279" spans="1:14" x14ac:dyDescent="0.3">
      <c r="A279" s="4">
        <v>54</v>
      </c>
      <c r="B279" s="4">
        <v>20.62</v>
      </c>
      <c r="C279" s="4">
        <v>164</v>
      </c>
      <c r="D279" s="4">
        <v>108</v>
      </c>
      <c r="E279" s="4">
        <v>1</v>
      </c>
      <c r="F279" s="4">
        <v>0</v>
      </c>
      <c r="G279" s="4">
        <v>0</v>
      </c>
      <c r="H279" s="4">
        <v>0</v>
      </c>
      <c r="I279" s="4">
        <v>0</v>
      </c>
      <c r="J279" s="4">
        <v>1</v>
      </c>
      <c r="K279" s="4">
        <v>0</v>
      </c>
      <c r="L279" s="4">
        <v>0</v>
      </c>
      <c r="M279" s="4">
        <f t="shared" si="8"/>
        <v>126.67</v>
      </c>
      <c r="N279" t="str">
        <f t="shared" si="9"/>
        <v>Hospitalización urgente</v>
      </c>
    </row>
    <row r="280" spans="1:14" x14ac:dyDescent="0.3">
      <c r="A280" s="4">
        <v>47</v>
      </c>
      <c r="B280" s="4">
        <v>34.26</v>
      </c>
      <c r="C280" s="4">
        <v>119</v>
      </c>
      <c r="D280" s="4">
        <v>65</v>
      </c>
      <c r="E280" s="4">
        <v>1</v>
      </c>
      <c r="F280" s="4">
        <v>1</v>
      </c>
      <c r="G280" s="4">
        <v>0</v>
      </c>
      <c r="H280" s="4">
        <v>0</v>
      </c>
      <c r="I280" s="4">
        <v>1</v>
      </c>
      <c r="J280" s="4">
        <v>0</v>
      </c>
      <c r="K280" s="4">
        <v>0</v>
      </c>
      <c r="L280" s="4">
        <v>0</v>
      </c>
      <c r="M280" s="4">
        <f t="shared" si="8"/>
        <v>83</v>
      </c>
      <c r="N280" t="str">
        <f t="shared" si="9"/>
        <v>Alto</v>
      </c>
    </row>
    <row r="281" spans="1:14" x14ac:dyDescent="0.3">
      <c r="A281" s="4">
        <v>24</v>
      </c>
      <c r="B281" s="4">
        <v>24.97</v>
      </c>
      <c r="C281" s="4">
        <v>185</v>
      </c>
      <c r="D281" s="4">
        <v>130</v>
      </c>
      <c r="E281" s="4">
        <v>0</v>
      </c>
      <c r="F281" s="4">
        <v>0</v>
      </c>
      <c r="G281" s="4">
        <v>0</v>
      </c>
      <c r="H281" s="4">
        <v>0</v>
      </c>
      <c r="I281" s="4">
        <v>1</v>
      </c>
      <c r="J281" s="4">
        <v>0</v>
      </c>
      <c r="K281" s="4">
        <v>1</v>
      </c>
      <c r="L281" s="4">
        <v>0</v>
      </c>
      <c r="M281" s="4">
        <f t="shared" si="8"/>
        <v>148.33000000000001</v>
      </c>
      <c r="N281" t="str">
        <f t="shared" si="9"/>
        <v>Hospitalización urgente</v>
      </c>
    </row>
    <row r="282" spans="1:14" x14ac:dyDescent="0.3">
      <c r="A282" s="4">
        <v>33</v>
      </c>
      <c r="B282" s="4">
        <v>22.49</v>
      </c>
      <c r="C282" s="4">
        <v>98</v>
      </c>
      <c r="D282" s="4">
        <v>80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f t="shared" si="8"/>
        <v>86</v>
      </c>
      <c r="N282" t="str">
        <f t="shared" si="9"/>
        <v>Ninguno</v>
      </c>
    </row>
    <row r="283" spans="1:14" x14ac:dyDescent="0.3">
      <c r="A283" s="4">
        <v>49</v>
      </c>
      <c r="B283" s="4">
        <v>32.590000000000003</v>
      </c>
      <c r="C283" s="4">
        <v>131</v>
      </c>
      <c r="D283" s="4">
        <v>104</v>
      </c>
      <c r="E283" s="4">
        <v>1</v>
      </c>
      <c r="F283" s="4">
        <v>0</v>
      </c>
      <c r="G283" s="4">
        <v>1</v>
      </c>
      <c r="H283" s="4">
        <v>1</v>
      </c>
      <c r="I283" s="4">
        <v>1</v>
      </c>
      <c r="J283" s="4">
        <v>1</v>
      </c>
      <c r="K283" s="4">
        <v>0</v>
      </c>
      <c r="L283" s="4">
        <v>0</v>
      </c>
      <c r="M283" s="4">
        <f t="shared" si="8"/>
        <v>113</v>
      </c>
      <c r="N283" t="str">
        <f t="shared" si="9"/>
        <v>Alto</v>
      </c>
    </row>
    <row r="284" spans="1:14" x14ac:dyDescent="0.3">
      <c r="A284" s="4">
        <v>42</v>
      </c>
      <c r="B284" s="4">
        <v>38.56</v>
      </c>
      <c r="C284" s="4">
        <v>199</v>
      </c>
      <c r="D284" s="4">
        <v>125</v>
      </c>
      <c r="E284" s="4">
        <v>1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</v>
      </c>
      <c r="L284" s="4">
        <v>0</v>
      </c>
      <c r="M284" s="4">
        <f t="shared" si="8"/>
        <v>149.66999999999999</v>
      </c>
      <c r="N284" t="str">
        <f t="shared" si="9"/>
        <v>Hospitalización urgente</v>
      </c>
    </row>
    <row r="285" spans="1:14" x14ac:dyDescent="0.3">
      <c r="A285" s="4">
        <v>41</v>
      </c>
      <c r="B285" s="4">
        <v>39.93</v>
      </c>
      <c r="C285" s="4">
        <v>129</v>
      </c>
      <c r="D285" s="4">
        <v>77</v>
      </c>
      <c r="E285" s="4">
        <v>0</v>
      </c>
      <c r="F285" s="4">
        <v>0</v>
      </c>
      <c r="G285" s="4">
        <v>1</v>
      </c>
      <c r="H285" s="4">
        <v>0</v>
      </c>
      <c r="I285" s="4">
        <v>0</v>
      </c>
      <c r="J285" s="4">
        <v>0</v>
      </c>
      <c r="K285" s="4">
        <v>1</v>
      </c>
      <c r="L285" s="4">
        <v>0</v>
      </c>
      <c r="M285" s="4">
        <f t="shared" si="8"/>
        <v>94.33</v>
      </c>
      <c r="N285" t="str">
        <f t="shared" si="9"/>
        <v>Medio</v>
      </c>
    </row>
    <row r="286" spans="1:14" x14ac:dyDescent="0.3">
      <c r="A286" s="4">
        <v>23</v>
      </c>
      <c r="B286" s="4">
        <v>30.08</v>
      </c>
      <c r="C286" s="4">
        <v>141</v>
      </c>
      <c r="D286" s="4">
        <v>84</v>
      </c>
      <c r="E286" s="4">
        <v>1</v>
      </c>
      <c r="F286" s="4">
        <v>1</v>
      </c>
      <c r="G286" s="4">
        <v>0</v>
      </c>
      <c r="H286" s="4">
        <v>0</v>
      </c>
      <c r="I286" s="4">
        <v>1</v>
      </c>
      <c r="J286" s="4">
        <v>1</v>
      </c>
      <c r="K286" s="4">
        <v>0</v>
      </c>
      <c r="L286" s="4">
        <v>0</v>
      </c>
      <c r="M286" s="4">
        <f t="shared" si="8"/>
        <v>103</v>
      </c>
      <c r="N286" t="str">
        <f t="shared" si="9"/>
        <v>Alto</v>
      </c>
    </row>
    <row r="287" spans="1:14" x14ac:dyDescent="0.3">
      <c r="A287" s="4">
        <v>44</v>
      </c>
      <c r="B287" s="4">
        <v>24.5</v>
      </c>
      <c r="C287" s="4">
        <v>200</v>
      </c>
      <c r="D287" s="4">
        <v>116</v>
      </c>
      <c r="E287" s="4">
        <v>0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>
        <v>1</v>
      </c>
      <c r="M287" s="4">
        <f t="shared" si="8"/>
        <v>144</v>
      </c>
      <c r="N287" t="str">
        <f t="shared" si="9"/>
        <v>Hospitalización urgente</v>
      </c>
    </row>
    <row r="288" spans="1:14" x14ac:dyDescent="0.3">
      <c r="A288" s="4">
        <v>52</v>
      </c>
      <c r="B288" s="4">
        <v>25.16</v>
      </c>
      <c r="C288" s="4">
        <v>110</v>
      </c>
      <c r="D288" s="4">
        <v>62</v>
      </c>
      <c r="E288" s="4">
        <v>1</v>
      </c>
      <c r="F288" s="4">
        <v>1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1</v>
      </c>
      <c r="M288" s="4">
        <f t="shared" si="8"/>
        <v>78</v>
      </c>
      <c r="N288" t="str">
        <f t="shared" si="9"/>
        <v>Alto</v>
      </c>
    </row>
    <row r="289" spans="1:14" x14ac:dyDescent="0.3">
      <c r="A289" s="4">
        <v>38</v>
      </c>
      <c r="B289" s="4">
        <v>34.11</v>
      </c>
      <c r="C289" s="4">
        <v>126</v>
      </c>
      <c r="D289" s="4">
        <v>78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1</v>
      </c>
      <c r="M289" s="4">
        <f t="shared" si="8"/>
        <v>94</v>
      </c>
      <c r="N289" t="str">
        <f t="shared" si="9"/>
        <v>Medio</v>
      </c>
    </row>
    <row r="290" spans="1:14" x14ac:dyDescent="0.3">
      <c r="A290" s="4">
        <v>22</v>
      </c>
      <c r="B290" s="4">
        <v>20.9</v>
      </c>
      <c r="C290" s="4">
        <v>103</v>
      </c>
      <c r="D290" s="4">
        <v>81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f t="shared" si="8"/>
        <v>88.33</v>
      </c>
      <c r="N290" t="str">
        <f t="shared" si="9"/>
        <v>Ninguno</v>
      </c>
    </row>
    <row r="291" spans="1:14" x14ac:dyDescent="0.3">
      <c r="A291" s="4">
        <v>27</v>
      </c>
      <c r="B291" s="4">
        <v>29.62</v>
      </c>
      <c r="C291" s="4">
        <v>132</v>
      </c>
      <c r="D291" s="4">
        <v>75</v>
      </c>
      <c r="E291" s="4">
        <v>1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f t="shared" si="8"/>
        <v>94</v>
      </c>
      <c r="N291" t="str">
        <f t="shared" si="9"/>
        <v>Alto</v>
      </c>
    </row>
    <row r="292" spans="1:14" x14ac:dyDescent="0.3">
      <c r="A292" s="4">
        <v>31</v>
      </c>
      <c r="B292" s="4">
        <v>19.07</v>
      </c>
      <c r="C292" s="4">
        <v>117</v>
      </c>
      <c r="D292" s="4">
        <v>79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f t="shared" si="8"/>
        <v>91.67</v>
      </c>
      <c r="N292" t="str">
        <f t="shared" si="9"/>
        <v>Ninguno</v>
      </c>
    </row>
    <row r="293" spans="1:14" x14ac:dyDescent="0.3">
      <c r="A293" s="4">
        <v>33</v>
      </c>
      <c r="B293" s="4">
        <v>29.27</v>
      </c>
      <c r="C293" s="4">
        <v>103</v>
      </c>
      <c r="D293" s="4">
        <v>72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f t="shared" si="8"/>
        <v>82.33</v>
      </c>
      <c r="N293" t="str">
        <f t="shared" si="9"/>
        <v>Ninguno</v>
      </c>
    </row>
    <row r="294" spans="1:14" x14ac:dyDescent="0.3">
      <c r="A294" s="4">
        <v>33</v>
      </c>
      <c r="B294" s="4">
        <v>29.87</v>
      </c>
      <c r="C294" s="4">
        <v>113</v>
      </c>
      <c r="D294" s="4">
        <v>62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1</v>
      </c>
      <c r="M294" s="4">
        <f t="shared" si="8"/>
        <v>79</v>
      </c>
      <c r="N294" t="str">
        <f t="shared" si="9"/>
        <v>Medio</v>
      </c>
    </row>
    <row r="295" spans="1:14" x14ac:dyDescent="0.3">
      <c r="A295" s="4">
        <v>23</v>
      </c>
      <c r="B295" s="4">
        <v>37.619999999999997</v>
      </c>
      <c r="C295" s="4">
        <v>100</v>
      </c>
      <c r="D295" s="4">
        <v>104</v>
      </c>
      <c r="E295" s="4">
        <v>1</v>
      </c>
      <c r="F295" s="4">
        <v>0</v>
      </c>
      <c r="G295" s="4">
        <v>0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>
        <f t="shared" si="8"/>
        <v>101.33</v>
      </c>
      <c r="N295" t="str">
        <f t="shared" si="9"/>
        <v>Alto</v>
      </c>
    </row>
    <row r="296" spans="1:14" x14ac:dyDescent="0.3">
      <c r="A296" s="4">
        <v>22</v>
      </c>
      <c r="B296" s="4">
        <v>25.93</v>
      </c>
      <c r="C296" s="4">
        <v>114</v>
      </c>
      <c r="D296" s="4">
        <v>106</v>
      </c>
      <c r="E296" s="4">
        <v>0</v>
      </c>
      <c r="F296" s="4">
        <v>1</v>
      </c>
      <c r="G296" s="4">
        <v>1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f t="shared" si="8"/>
        <v>108.67</v>
      </c>
      <c r="N296" t="str">
        <f t="shared" si="9"/>
        <v>Alto</v>
      </c>
    </row>
    <row r="297" spans="1:14" x14ac:dyDescent="0.3">
      <c r="A297" s="4">
        <v>43</v>
      </c>
      <c r="B297" s="4">
        <v>42.03</v>
      </c>
      <c r="C297" s="4">
        <v>184</v>
      </c>
      <c r="D297" s="4">
        <v>122</v>
      </c>
      <c r="E297" s="4">
        <v>0</v>
      </c>
      <c r="F297" s="4">
        <v>0</v>
      </c>
      <c r="G297" s="4">
        <v>0</v>
      </c>
      <c r="H297" s="4">
        <v>0</v>
      </c>
      <c r="I297" s="4">
        <v>1</v>
      </c>
      <c r="J297" s="4">
        <v>0</v>
      </c>
      <c r="K297" s="4">
        <v>1</v>
      </c>
      <c r="L297" s="4">
        <v>0</v>
      </c>
      <c r="M297" s="4">
        <f t="shared" si="8"/>
        <v>142.66999999999999</v>
      </c>
      <c r="N297" t="str">
        <f t="shared" si="9"/>
        <v>Hospitalización urgente</v>
      </c>
    </row>
    <row r="298" spans="1:14" x14ac:dyDescent="0.3">
      <c r="A298" s="4">
        <v>29</v>
      </c>
      <c r="B298" s="4">
        <v>27.64</v>
      </c>
      <c r="C298" s="4">
        <v>92</v>
      </c>
      <c r="D298" s="4">
        <v>86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f t="shared" si="8"/>
        <v>88</v>
      </c>
      <c r="N298" t="str">
        <f t="shared" si="9"/>
        <v>Ninguno</v>
      </c>
    </row>
    <row r="299" spans="1:14" x14ac:dyDescent="0.3">
      <c r="A299" s="4">
        <v>46</v>
      </c>
      <c r="B299" s="4">
        <v>39.33</v>
      </c>
      <c r="C299" s="4">
        <v>182</v>
      </c>
      <c r="D299" s="4">
        <v>116</v>
      </c>
      <c r="E299" s="4">
        <v>0</v>
      </c>
      <c r="F299" s="4">
        <v>1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f t="shared" si="8"/>
        <v>138</v>
      </c>
      <c r="N299" t="str">
        <f t="shared" si="9"/>
        <v>Hospitalización urgente</v>
      </c>
    </row>
    <row r="300" spans="1:14" x14ac:dyDescent="0.3">
      <c r="A300" s="4">
        <v>24</v>
      </c>
      <c r="B300" s="4">
        <v>36.18</v>
      </c>
      <c r="C300" s="4">
        <v>103</v>
      </c>
      <c r="D300" s="4">
        <v>103</v>
      </c>
      <c r="E300" s="4">
        <v>1</v>
      </c>
      <c r="F300" s="4">
        <v>1</v>
      </c>
      <c r="G300" s="4">
        <v>1</v>
      </c>
      <c r="H300" s="4">
        <v>1</v>
      </c>
      <c r="I300" s="4">
        <v>1</v>
      </c>
      <c r="J300" s="4">
        <v>0</v>
      </c>
      <c r="K300" s="4">
        <v>0</v>
      </c>
      <c r="L300" s="4">
        <v>0</v>
      </c>
      <c r="M300" s="4">
        <f t="shared" si="8"/>
        <v>103</v>
      </c>
      <c r="N300" t="str">
        <f t="shared" si="9"/>
        <v>Alto</v>
      </c>
    </row>
    <row r="301" spans="1:14" x14ac:dyDescent="0.3">
      <c r="A301" s="4">
        <v>53</v>
      </c>
      <c r="B301" s="4">
        <v>37.799999999999997</v>
      </c>
      <c r="C301" s="4">
        <v>161</v>
      </c>
      <c r="D301" s="4">
        <v>76</v>
      </c>
      <c r="E301" s="4">
        <v>0</v>
      </c>
      <c r="F301" s="4">
        <v>1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f t="shared" si="8"/>
        <v>104.33</v>
      </c>
      <c r="N301" t="str">
        <f t="shared" si="9"/>
        <v>Hospitalización urgente</v>
      </c>
    </row>
    <row r="302" spans="1:14" x14ac:dyDescent="0.3">
      <c r="A302" s="4">
        <v>22</v>
      </c>
      <c r="B302" s="4">
        <v>29.33</v>
      </c>
      <c r="C302" s="4">
        <v>99</v>
      </c>
      <c r="D302" s="4">
        <v>88</v>
      </c>
      <c r="E302" s="4">
        <v>1</v>
      </c>
      <c r="F302" s="4">
        <v>0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f t="shared" si="8"/>
        <v>91.67</v>
      </c>
      <c r="N302" t="str">
        <f t="shared" si="9"/>
        <v>Alto</v>
      </c>
    </row>
    <row r="303" spans="1:14" x14ac:dyDescent="0.3">
      <c r="A303" s="4">
        <v>54</v>
      </c>
      <c r="B303" s="4">
        <v>32.299999999999997</v>
      </c>
      <c r="C303" s="4">
        <v>104</v>
      </c>
      <c r="D303" s="4">
        <v>94</v>
      </c>
      <c r="E303" s="4">
        <v>0</v>
      </c>
      <c r="F303" s="4">
        <v>0</v>
      </c>
      <c r="G303" s="4">
        <v>1</v>
      </c>
      <c r="H303" s="4">
        <v>1</v>
      </c>
      <c r="I303" s="4">
        <v>0</v>
      </c>
      <c r="J303" s="4">
        <v>0</v>
      </c>
      <c r="K303" s="4">
        <v>1</v>
      </c>
      <c r="L303" s="4">
        <v>0</v>
      </c>
      <c r="M303" s="4">
        <f t="shared" si="8"/>
        <v>97.33</v>
      </c>
      <c r="N303" t="str">
        <f t="shared" si="9"/>
        <v>Medio</v>
      </c>
    </row>
    <row r="304" spans="1:14" x14ac:dyDescent="0.3">
      <c r="A304" s="4">
        <v>20</v>
      </c>
      <c r="B304" s="4">
        <v>23.51</v>
      </c>
      <c r="C304" s="4">
        <v>194</v>
      </c>
      <c r="D304" s="4">
        <v>136</v>
      </c>
      <c r="E304" s="4">
        <v>1</v>
      </c>
      <c r="F304" s="4">
        <v>0</v>
      </c>
      <c r="G304" s="4">
        <v>0</v>
      </c>
      <c r="H304" s="4">
        <v>1</v>
      </c>
      <c r="I304" s="4">
        <v>1</v>
      </c>
      <c r="J304" s="4">
        <v>0</v>
      </c>
      <c r="K304" s="4">
        <v>0</v>
      </c>
      <c r="L304" s="4">
        <v>1</v>
      </c>
      <c r="M304" s="4">
        <f t="shared" si="8"/>
        <v>155.33000000000001</v>
      </c>
      <c r="N304" t="str">
        <f t="shared" si="9"/>
        <v>Hospitalización urgente</v>
      </c>
    </row>
    <row r="305" spans="1:14" x14ac:dyDescent="0.3">
      <c r="A305" s="4">
        <v>53</v>
      </c>
      <c r="B305" s="4">
        <v>37.770000000000003</v>
      </c>
      <c r="C305" s="4">
        <v>122</v>
      </c>
      <c r="D305" s="4">
        <v>85</v>
      </c>
      <c r="E305" s="4">
        <v>0</v>
      </c>
      <c r="F305" s="4">
        <v>0</v>
      </c>
      <c r="G305" s="4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f t="shared" si="8"/>
        <v>97.33</v>
      </c>
      <c r="N305" t="str">
        <f t="shared" si="9"/>
        <v>Medio</v>
      </c>
    </row>
    <row r="306" spans="1:14" x14ac:dyDescent="0.3">
      <c r="A306" s="4">
        <v>38</v>
      </c>
      <c r="B306" s="4">
        <v>26.68</v>
      </c>
      <c r="C306" s="4">
        <v>97</v>
      </c>
      <c r="D306" s="4">
        <v>72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f t="shared" si="8"/>
        <v>80.33</v>
      </c>
      <c r="N306" t="str">
        <f t="shared" si="9"/>
        <v>Ninguno</v>
      </c>
    </row>
    <row r="307" spans="1:14" x14ac:dyDescent="0.3">
      <c r="A307" s="4">
        <v>48</v>
      </c>
      <c r="B307" s="4">
        <v>30.88</v>
      </c>
      <c r="C307" s="4">
        <v>147</v>
      </c>
      <c r="D307" s="4">
        <v>64</v>
      </c>
      <c r="E307" s="4">
        <v>0</v>
      </c>
      <c r="F307" s="4">
        <v>0</v>
      </c>
      <c r="G307" s="4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f t="shared" si="8"/>
        <v>91.67</v>
      </c>
      <c r="N307" t="str">
        <f t="shared" si="9"/>
        <v>Medio</v>
      </c>
    </row>
    <row r="308" spans="1:14" x14ac:dyDescent="0.3">
      <c r="A308" s="4">
        <v>44</v>
      </c>
      <c r="B308" s="4">
        <v>27.34</v>
      </c>
      <c r="C308" s="4">
        <v>144</v>
      </c>
      <c r="D308" s="4">
        <v>95</v>
      </c>
      <c r="E308" s="4">
        <v>0</v>
      </c>
      <c r="F308" s="4">
        <v>0</v>
      </c>
      <c r="G308" s="4">
        <v>1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f t="shared" si="8"/>
        <v>111.33</v>
      </c>
      <c r="N308" t="str">
        <f t="shared" si="9"/>
        <v>Medio</v>
      </c>
    </row>
    <row r="309" spans="1:14" x14ac:dyDescent="0.3">
      <c r="A309" s="4">
        <v>24</v>
      </c>
      <c r="B309" s="4">
        <v>24.33</v>
      </c>
      <c r="C309" s="4">
        <v>109</v>
      </c>
      <c r="D309" s="4">
        <v>85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f t="shared" si="8"/>
        <v>93</v>
      </c>
      <c r="N309" t="str">
        <f t="shared" si="9"/>
        <v>Ninguno</v>
      </c>
    </row>
    <row r="310" spans="1:14" x14ac:dyDescent="0.3">
      <c r="A310" s="4">
        <v>28</v>
      </c>
      <c r="B310" s="4">
        <v>24.28</v>
      </c>
      <c r="C310" s="4">
        <v>98</v>
      </c>
      <c r="D310" s="4">
        <v>51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1</v>
      </c>
      <c r="M310" s="4">
        <f t="shared" si="8"/>
        <v>66.67</v>
      </c>
      <c r="N310" t="str">
        <f t="shared" si="9"/>
        <v>Medio</v>
      </c>
    </row>
    <row r="311" spans="1:14" x14ac:dyDescent="0.3">
      <c r="A311" s="4">
        <v>27</v>
      </c>
      <c r="B311" s="4">
        <v>38.090000000000003</v>
      </c>
      <c r="C311" s="4">
        <v>164</v>
      </c>
      <c r="D311" s="4">
        <v>132</v>
      </c>
      <c r="E311" s="4">
        <v>1</v>
      </c>
      <c r="F311" s="4">
        <v>1</v>
      </c>
      <c r="G311" s="4">
        <v>1</v>
      </c>
      <c r="H311" s="4">
        <v>0</v>
      </c>
      <c r="I311" s="4">
        <v>0</v>
      </c>
      <c r="J311" s="4">
        <v>0</v>
      </c>
      <c r="K311" s="4">
        <v>1</v>
      </c>
      <c r="L311" s="4">
        <v>0</v>
      </c>
      <c r="M311" s="4">
        <f t="shared" si="8"/>
        <v>142.66999999999999</v>
      </c>
      <c r="N311" t="str">
        <f t="shared" si="9"/>
        <v>Hospitalización urgente</v>
      </c>
    </row>
    <row r="312" spans="1:14" x14ac:dyDescent="0.3">
      <c r="A312" s="4">
        <v>24</v>
      </c>
      <c r="B312" s="4">
        <v>26.17</v>
      </c>
      <c r="C312" s="4">
        <v>111</v>
      </c>
      <c r="D312" s="4">
        <v>67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f t="shared" si="8"/>
        <v>81.67</v>
      </c>
      <c r="N312" t="str">
        <f t="shared" si="9"/>
        <v>Ninguno</v>
      </c>
    </row>
    <row r="313" spans="1:14" x14ac:dyDescent="0.3">
      <c r="A313" s="4">
        <v>43</v>
      </c>
      <c r="B313" s="4">
        <v>38.409999999999997</v>
      </c>
      <c r="C313" s="4">
        <v>129</v>
      </c>
      <c r="D313" s="4">
        <v>104</v>
      </c>
      <c r="E313" s="4">
        <v>0</v>
      </c>
      <c r="F313" s="4">
        <v>0</v>
      </c>
      <c r="G313" s="4">
        <v>1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f t="shared" si="8"/>
        <v>112.33</v>
      </c>
      <c r="N313" t="str">
        <f t="shared" si="9"/>
        <v>Medio</v>
      </c>
    </row>
    <row r="314" spans="1:14" x14ac:dyDescent="0.3">
      <c r="A314" s="4">
        <v>26</v>
      </c>
      <c r="B314" s="4">
        <v>28.39</v>
      </c>
      <c r="C314" s="4">
        <v>96</v>
      </c>
      <c r="D314" s="4">
        <v>65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f t="shared" si="8"/>
        <v>75.33</v>
      </c>
      <c r="N314" t="str">
        <f t="shared" si="9"/>
        <v>Ninguno</v>
      </c>
    </row>
    <row r="315" spans="1:14" x14ac:dyDescent="0.3">
      <c r="A315" s="4">
        <v>20</v>
      </c>
      <c r="B315" s="4">
        <v>37.1</v>
      </c>
      <c r="C315" s="4">
        <v>202</v>
      </c>
      <c r="D315" s="4">
        <v>112</v>
      </c>
      <c r="E315" s="4">
        <v>1</v>
      </c>
      <c r="F315" s="4">
        <v>0</v>
      </c>
      <c r="G315" s="4">
        <v>1</v>
      </c>
      <c r="H315" s="4">
        <v>1</v>
      </c>
      <c r="I315" s="4">
        <v>0</v>
      </c>
      <c r="J315" s="4">
        <v>1</v>
      </c>
      <c r="K315" s="4">
        <v>1</v>
      </c>
      <c r="L315" s="4">
        <v>1</v>
      </c>
      <c r="M315" s="4">
        <f t="shared" si="8"/>
        <v>142</v>
      </c>
      <c r="N315" t="str">
        <f t="shared" si="9"/>
        <v>Hospitalización urgente</v>
      </c>
    </row>
    <row r="316" spans="1:14" x14ac:dyDescent="0.3">
      <c r="A316" s="4">
        <v>33</v>
      </c>
      <c r="B316" s="4">
        <v>23.48</v>
      </c>
      <c r="C316" s="4">
        <v>196</v>
      </c>
      <c r="D316" s="4">
        <v>120</v>
      </c>
      <c r="E316" s="4">
        <v>1</v>
      </c>
      <c r="F316" s="4">
        <v>1</v>
      </c>
      <c r="G316" s="4">
        <v>1</v>
      </c>
      <c r="H316" s="4">
        <v>1</v>
      </c>
      <c r="I316" s="4">
        <v>0</v>
      </c>
      <c r="J316" s="4">
        <v>1</v>
      </c>
      <c r="K316" s="4">
        <v>0</v>
      </c>
      <c r="L316" s="4">
        <v>0</v>
      </c>
      <c r="M316" s="4">
        <f t="shared" si="8"/>
        <v>145.33000000000001</v>
      </c>
      <c r="N316" t="str">
        <f t="shared" si="9"/>
        <v>Hospitalización urgente</v>
      </c>
    </row>
    <row r="317" spans="1:14" x14ac:dyDescent="0.3">
      <c r="A317" s="4">
        <v>30</v>
      </c>
      <c r="B317" s="4">
        <v>35.19</v>
      </c>
      <c r="C317" s="4">
        <v>94</v>
      </c>
      <c r="D317" s="4">
        <v>96</v>
      </c>
      <c r="E317" s="4">
        <v>0</v>
      </c>
      <c r="F317" s="4">
        <v>1</v>
      </c>
      <c r="G317" s="4">
        <v>0</v>
      </c>
      <c r="H317" s="4">
        <v>0</v>
      </c>
      <c r="I317" s="4">
        <v>0</v>
      </c>
      <c r="J317" s="4">
        <v>1</v>
      </c>
      <c r="K317" s="4">
        <v>0</v>
      </c>
      <c r="L317" s="4">
        <v>0</v>
      </c>
      <c r="M317" s="4">
        <f t="shared" si="8"/>
        <v>94.67</v>
      </c>
      <c r="N317" t="str">
        <f t="shared" si="9"/>
        <v>Alto</v>
      </c>
    </row>
    <row r="318" spans="1:14" x14ac:dyDescent="0.3">
      <c r="A318" s="4">
        <v>46</v>
      </c>
      <c r="B318" s="4">
        <v>27.1</v>
      </c>
      <c r="C318" s="4">
        <v>99</v>
      </c>
      <c r="D318" s="4">
        <v>66</v>
      </c>
      <c r="E318" s="4">
        <v>1</v>
      </c>
      <c r="F318" s="4">
        <v>1</v>
      </c>
      <c r="G318" s="4">
        <v>1</v>
      </c>
      <c r="H318" s="4">
        <v>0</v>
      </c>
      <c r="I318" s="4">
        <v>0</v>
      </c>
      <c r="J318" s="4">
        <v>1</v>
      </c>
      <c r="K318" s="4">
        <v>0</v>
      </c>
      <c r="L318" s="4">
        <v>0</v>
      </c>
      <c r="M318" s="4">
        <f t="shared" si="8"/>
        <v>77</v>
      </c>
      <c r="N318" t="str">
        <f t="shared" si="9"/>
        <v>Alto</v>
      </c>
    </row>
    <row r="319" spans="1:14" x14ac:dyDescent="0.3">
      <c r="A319" s="4">
        <v>49</v>
      </c>
      <c r="B319" s="4">
        <v>23.64</v>
      </c>
      <c r="C319" s="4">
        <v>204</v>
      </c>
      <c r="D319" s="4">
        <v>120</v>
      </c>
      <c r="E319" s="4">
        <v>1</v>
      </c>
      <c r="F319" s="4">
        <v>1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f t="shared" si="8"/>
        <v>148</v>
      </c>
      <c r="N319" t="str">
        <f t="shared" si="9"/>
        <v>Hospitalización urgente</v>
      </c>
    </row>
    <row r="320" spans="1:14" x14ac:dyDescent="0.3">
      <c r="A320" s="4">
        <v>47</v>
      </c>
      <c r="B320" s="4">
        <v>30.47</v>
      </c>
      <c r="C320" s="4">
        <v>92</v>
      </c>
      <c r="D320" s="4">
        <v>71</v>
      </c>
      <c r="E320" s="4">
        <v>1</v>
      </c>
      <c r="F320" s="4">
        <v>1</v>
      </c>
      <c r="G320" s="4">
        <v>0</v>
      </c>
      <c r="H320" s="4">
        <v>1</v>
      </c>
      <c r="I320" s="4">
        <v>1</v>
      </c>
      <c r="J320" s="4">
        <v>0</v>
      </c>
      <c r="K320" s="4">
        <v>0</v>
      </c>
      <c r="L320" s="4">
        <v>0</v>
      </c>
      <c r="M320" s="4">
        <f t="shared" si="8"/>
        <v>78</v>
      </c>
      <c r="N320" t="str">
        <f t="shared" si="9"/>
        <v>Alto</v>
      </c>
    </row>
    <row r="321" spans="1:14" x14ac:dyDescent="0.3">
      <c r="A321" s="4">
        <v>45</v>
      </c>
      <c r="B321" s="4">
        <v>28.24</v>
      </c>
      <c r="C321" s="4">
        <v>94</v>
      </c>
      <c r="D321" s="4">
        <v>74</v>
      </c>
      <c r="E321" s="4">
        <v>1</v>
      </c>
      <c r="F321" s="4">
        <v>1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1</v>
      </c>
      <c r="M321" s="4">
        <f t="shared" si="8"/>
        <v>80.67</v>
      </c>
      <c r="N321" t="str">
        <f t="shared" si="9"/>
        <v>Alto</v>
      </c>
    </row>
    <row r="322" spans="1:14" x14ac:dyDescent="0.3">
      <c r="A322" s="4">
        <v>40</v>
      </c>
      <c r="B322" s="4">
        <v>30.63</v>
      </c>
      <c r="C322" s="4">
        <v>167</v>
      </c>
      <c r="D322" s="4">
        <v>86</v>
      </c>
      <c r="E322" s="4">
        <v>1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f t="shared" si="8"/>
        <v>113</v>
      </c>
      <c r="N322" t="str">
        <f t="shared" si="9"/>
        <v>Hospitalización urgente</v>
      </c>
    </row>
    <row r="323" spans="1:14" x14ac:dyDescent="0.3">
      <c r="A323" s="4">
        <v>24</v>
      </c>
      <c r="B323" s="4">
        <v>27</v>
      </c>
      <c r="C323" s="4">
        <v>126</v>
      </c>
      <c r="D323" s="4">
        <v>66</v>
      </c>
      <c r="E323" s="4">
        <v>1</v>
      </c>
      <c r="F323" s="4">
        <v>0</v>
      </c>
      <c r="G323" s="4">
        <v>0</v>
      </c>
      <c r="H323" s="4">
        <v>1</v>
      </c>
      <c r="I323" s="4">
        <v>0</v>
      </c>
      <c r="J323" s="4">
        <v>0</v>
      </c>
      <c r="K323" s="4">
        <v>0</v>
      </c>
      <c r="L323" s="4">
        <v>1</v>
      </c>
      <c r="M323" s="4">
        <f t="shared" ref="M323:M386" si="10">ROUND((MAX(C323, D323) + (2 * MIN(C323, D323))) / 3, 2)</f>
        <v>86</v>
      </c>
      <c r="N323" t="str">
        <f t="shared" ref="N323:N386" si="11">IF(OR(MAX(C323, D323)&gt;=160, MIN(C323, D323)&gt;=110), "Hospitalización urgente", IF(OR(E323=1, F323=1, I323=1, J323=1, (IF(A323&gt;40, 1.82, 0) + IF(B323&gt;=30, 2.47, 0) + IF(MAX(C323, D323)&gt;=140, 2.4, 0) + IF(MIN(C323, D323)&gt;=90, 1.4, 0) + IF(E323=1, 3.6, 0) + IF(F323=1, 3.6, 0) + IF(G323=1, 3, 0) + IF(H323=1, 3, 0) + IF(I323=1, 3.6, 0) + IF(J323=1, 2.9, 0))&gt;19.01), "Alto", IF(OR(K323=1, L323=1, M323&gt;95, (IF(A323&gt;40, 1.82, 0) + IF(B323&gt;=30, 2.47, 0) + IF(MAX(C323, D323)&gt;=140, 2.4, 0) + IF(MIN(C323, D323)&gt;=90, 1.4, 0) + IF(E323=1, 3.6, 0) + IF(F323=1, 3.6, 0) + IF(G323=1, 3, 0) + IF(H323=1, 3, 0) + IF(I323=1, 3.6, 0) + IF(J323=1, 2.9, 0))&gt;0), "Medio", "Ninguno")))</f>
        <v>Alto</v>
      </c>
    </row>
    <row r="324" spans="1:14" x14ac:dyDescent="0.3">
      <c r="A324" s="4">
        <v>33</v>
      </c>
      <c r="B324" s="4">
        <v>44.24</v>
      </c>
      <c r="C324" s="4">
        <v>173</v>
      </c>
      <c r="D324" s="4">
        <v>121</v>
      </c>
      <c r="E324" s="4">
        <v>1</v>
      </c>
      <c r="F324" s="4">
        <v>0</v>
      </c>
      <c r="G324" s="4">
        <v>0</v>
      </c>
      <c r="H324" s="4">
        <v>1</v>
      </c>
      <c r="I324" s="4">
        <v>1</v>
      </c>
      <c r="J324" s="4">
        <v>0</v>
      </c>
      <c r="K324" s="4">
        <v>0</v>
      </c>
      <c r="L324" s="4">
        <v>0</v>
      </c>
      <c r="M324" s="4">
        <f t="shared" si="10"/>
        <v>138.33000000000001</v>
      </c>
      <c r="N324" t="str">
        <f t="shared" si="11"/>
        <v>Hospitalización urgente</v>
      </c>
    </row>
    <row r="325" spans="1:14" x14ac:dyDescent="0.3">
      <c r="A325" s="4">
        <v>29</v>
      </c>
      <c r="B325" s="4">
        <v>31.63</v>
      </c>
      <c r="C325" s="4">
        <v>116</v>
      </c>
      <c r="D325" s="4">
        <v>111</v>
      </c>
      <c r="E325" s="4">
        <v>0</v>
      </c>
      <c r="F325" s="4">
        <v>1</v>
      </c>
      <c r="G325" s="4">
        <v>1</v>
      </c>
      <c r="H325" s="4">
        <v>1</v>
      </c>
      <c r="I325" s="4">
        <v>0</v>
      </c>
      <c r="J325" s="4">
        <v>0</v>
      </c>
      <c r="K325" s="4">
        <v>0</v>
      </c>
      <c r="L325" s="4">
        <v>1</v>
      </c>
      <c r="M325" s="4">
        <f t="shared" si="10"/>
        <v>112.67</v>
      </c>
      <c r="N325" t="str">
        <f t="shared" si="11"/>
        <v>Hospitalización urgente</v>
      </c>
    </row>
    <row r="326" spans="1:14" x14ac:dyDescent="0.3">
      <c r="A326" s="4">
        <v>18</v>
      </c>
      <c r="B326" s="4">
        <v>30.35</v>
      </c>
      <c r="C326" s="4">
        <v>194</v>
      </c>
      <c r="D326" s="4">
        <v>134</v>
      </c>
      <c r="E326" s="4">
        <v>1</v>
      </c>
      <c r="F326" s="4">
        <v>0</v>
      </c>
      <c r="G326" s="4">
        <v>1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f t="shared" si="10"/>
        <v>154</v>
      </c>
      <c r="N326" t="str">
        <f t="shared" si="11"/>
        <v>Hospitalización urgente</v>
      </c>
    </row>
    <row r="327" spans="1:14" x14ac:dyDescent="0.3">
      <c r="A327" s="4">
        <v>23</v>
      </c>
      <c r="B327" s="4">
        <v>43.79</v>
      </c>
      <c r="C327" s="4">
        <v>209</v>
      </c>
      <c r="D327" s="4">
        <v>124</v>
      </c>
      <c r="E327" s="4">
        <v>1</v>
      </c>
      <c r="F327" s="4">
        <v>0</v>
      </c>
      <c r="G327" s="4">
        <v>1</v>
      </c>
      <c r="H327" s="4">
        <v>1</v>
      </c>
      <c r="I327" s="4">
        <v>1</v>
      </c>
      <c r="J327" s="4">
        <v>0</v>
      </c>
      <c r="K327" s="4">
        <v>0</v>
      </c>
      <c r="L327" s="4">
        <v>0</v>
      </c>
      <c r="M327" s="4">
        <f t="shared" si="10"/>
        <v>152.33000000000001</v>
      </c>
      <c r="N327" t="str">
        <f t="shared" si="11"/>
        <v>Hospitalización urgente</v>
      </c>
    </row>
    <row r="328" spans="1:14" x14ac:dyDescent="0.3">
      <c r="A328" s="4">
        <v>32</v>
      </c>
      <c r="B328" s="4">
        <v>44.49</v>
      </c>
      <c r="C328" s="4">
        <v>217</v>
      </c>
      <c r="D328" s="4">
        <v>128</v>
      </c>
      <c r="E328" s="4">
        <v>0</v>
      </c>
      <c r="F328" s="4">
        <v>1</v>
      </c>
      <c r="G328" s="4">
        <v>0</v>
      </c>
      <c r="H328" s="4">
        <v>0</v>
      </c>
      <c r="I328" s="4">
        <v>0</v>
      </c>
      <c r="J328" s="4">
        <v>0</v>
      </c>
      <c r="K328" s="4">
        <v>1</v>
      </c>
      <c r="L328" s="4">
        <v>0</v>
      </c>
      <c r="M328" s="4">
        <f t="shared" si="10"/>
        <v>157.66999999999999</v>
      </c>
      <c r="N328" t="str">
        <f t="shared" si="11"/>
        <v>Hospitalización urgente</v>
      </c>
    </row>
    <row r="329" spans="1:14" x14ac:dyDescent="0.3">
      <c r="A329" s="4">
        <v>27</v>
      </c>
      <c r="B329" s="4">
        <v>21.59</v>
      </c>
      <c r="C329" s="4">
        <v>107</v>
      </c>
      <c r="D329" s="4">
        <v>108</v>
      </c>
      <c r="E329" s="4">
        <v>1</v>
      </c>
      <c r="F329" s="4">
        <v>1</v>
      </c>
      <c r="G329" s="4">
        <v>0</v>
      </c>
      <c r="H329" s="4">
        <v>0</v>
      </c>
      <c r="I329" s="4">
        <v>1</v>
      </c>
      <c r="J329" s="4">
        <v>1</v>
      </c>
      <c r="K329" s="4">
        <v>0</v>
      </c>
      <c r="L329" s="4">
        <v>1</v>
      </c>
      <c r="M329" s="4">
        <f t="shared" si="10"/>
        <v>107.33</v>
      </c>
      <c r="N329" t="str">
        <f t="shared" si="11"/>
        <v>Alto</v>
      </c>
    </row>
    <row r="330" spans="1:14" x14ac:dyDescent="0.3">
      <c r="A330" s="4">
        <v>18</v>
      </c>
      <c r="B330" s="4">
        <v>22.31</v>
      </c>
      <c r="C330" s="4">
        <v>166</v>
      </c>
      <c r="D330" s="4">
        <v>84</v>
      </c>
      <c r="E330" s="4">
        <v>1</v>
      </c>
      <c r="F330" s="4">
        <v>0</v>
      </c>
      <c r="G330" s="4">
        <v>1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f t="shared" si="10"/>
        <v>111.33</v>
      </c>
      <c r="N330" t="str">
        <f t="shared" si="11"/>
        <v>Hospitalización urgente</v>
      </c>
    </row>
    <row r="331" spans="1:14" x14ac:dyDescent="0.3">
      <c r="A331" s="4">
        <v>50</v>
      </c>
      <c r="B331" s="4">
        <v>26.13</v>
      </c>
      <c r="C331" s="4">
        <v>117</v>
      </c>
      <c r="D331" s="4">
        <v>99</v>
      </c>
      <c r="E331" s="4">
        <v>0</v>
      </c>
      <c r="F331" s="4">
        <v>0</v>
      </c>
      <c r="G331" s="4">
        <v>1</v>
      </c>
      <c r="H331" s="4">
        <v>0</v>
      </c>
      <c r="I331" s="4">
        <v>0</v>
      </c>
      <c r="J331" s="4">
        <v>0</v>
      </c>
      <c r="K331" s="4">
        <v>1</v>
      </c>
      <c r="L331" s="4">
        <v>0</v>
      </c>
      <c r="M331" s="4">
        <f t="shared" si="10"/>
        <v>105</v>
      </c>
      <c r="N331" t="str">
        <f t="shared" si="11"/>
        <v>Medio</v>
      </c>
    </row>
    <row r="332" spans="1:14" x14ac:dyDescent="0.3">
      <c r="A332" s="4">
        <v>34</v>
      </c>
      <c r="B332" s="4">
        <v>26.14</v>
      </c>
      <c r="C332" s="4">
        <v>114</v>
      </c>
      <c r="D332" s="4">
        <v>81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f t="shared" si="10"/>
        <v>92</v>
      </c>
      <c r="N332" t="str">
        <f t="shared" si="11"/>
        <v>Ninguno</v>
      </c>
    </row>
    <row r="333" spans="1:14" x14ac:dyDescent="0.3">
      <c r="A333" s="4">
        <v>25</v>
      </c>
      <c r="B333" s="4">
        <v>32.54</v>
      </c>
      <c r="C333" s="4">
        <v>115</v>
      </c>
      <c r="D333" s="4">
        <v>82</v>
      </c>
      <c r="E333" s="4">
        <v>1</v>
      </c>
      <c r="F333" s="4">
        <v>1</v>
      </c>
      <c r="G333" s="4">
        <v>1</v>
      </c>
      <c r="H333" s="4">
        <v>1</v>
      </c>
      <c r="I333" s="4">
        <v>0</v>
      </c>
      <c r="J333" s="4">
        <v>0</v>
      </c>
      <c r="K333" s="4">
        <v>0</v>
      </c>
      <c r="L333" s="4">
        <v>0</v>
      </c>
      <c r="M333" s="4">
        <f t="shared" si="10"/>
        <v>93</v>
      </c>
      <c r="N333" t="str">
        <f t="shared" si="11"/>
        <v>Alto</v>
      </c>
    </row>
    <row r="334" spans="1:14" x14ac:dyDescent="0.3">
      <c r="A334" s="4">
        <v>46</v>
      </c>
      <c r="B334" s="4">
        <v>26.53</v>
      </c>
      <c r="C334" s="4">
        <v>156</v>
      </c>
      <c r="D334" s="4">
        <v>71</v>
      </c>
      <c r="E334" s="4">
        <v>0</v>
      </c>
      <c r="F334" s="4">
        <v>0</v>
      </c>
      <c r="G334" s="4">
        <v>1</v>
      </c>
      <c r="H334" s="4">
        <v>1</v>
      </c>
      <c r="I334" s="4">
        <v>0</v>
      </c>
      <c r="J334" s="4">
        <v>0</v>
      </c>
      <c r="K334" s="4">
        <v>0</v>
      </c>
      <c r="L334" s="4">
        <v>0</v>
      </c>
      <c r="M334" s="4">
        <f t="shared" si="10"/>
        <v>99.33</v>
      </c>
      <c r="N334" t="str">
        <f t="shared" si="11"/>
        <v>Medio</v>
      </c>
    </row>
    <row r="335" spans="1:14" x14ac:dyDescent="0.3">
      <c r="A335" s="4">
        <v>29</v>
      </c>
      <c r="B335" s="4">
        <v>37.049999999999997</v>
      </c>
      <c r="C335" s="4">
        <v>190</v>
      </c>
      <c r="D335" s="4">
        <v>136</v>
      </c>
      <c r="E335" s="4">
        <v>1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f t="shared" si="10"/>
        <v>154</v>
      </c>
      <c r="N335" t="str">
        <f t="shared" si="11"/>
        <v>Hospitalización urgente</v>
      </c>
    </row>
    <row r="336" spans="1:14" x14ac:dyDescent="0.3">
      <c r="A336" s="4">
        <v>51</v>
      </c>
      <c r="B336" s="4">
        <v>28.61</v>
      </c>
      <c r="C336" s="4">
        <v>107</v>
      </c>
      <c r="D336" s="4">
        <v>117</v>
      </c>
      <c r="E336" s="4">
        <v>1</v>
      </c>
      <c r="F336" s="4">
        <v>0</v>
      </c>
      <c r="G336" s="4">
        <v>1</v>
      </c>
      <c r="H336" s="4">
        <v>0</v>
      </c>
      <c r="I336" s="4">
        <v>0</v>
      </c>
      <c r="J336" s="4">
        <v>0</v>
      </c>
      <c r="K336" s="4">
        <v>0</v>
      </c>
      <c r="L336" s="4">
        <v>1</v>
      </c>
      <c r="M336" s="4">
        <f t="shared" si="10"/>
        <v>110.33</v>
      </c>
      <c r="N336" t="str">
        <f t="shared" si="11"/>
        <v>Alto</v>
      </c>
    </row>
    <row r="337" spans="1:14" x14ac:dyDescent="0.3">
      <c r="A337" s="4">
        <v>41</v>
      </c>
      <c r="B337" s="4">
        <v>36.39</v>
      </c>
      <c r="C337" s="4">
        <v>107</v>
      </c>
      <c r="D337" s="4">
        <v>78</v>
      </c>
      <c r="E337" s="4">
        <v>0</v>
      </c>
      <c r="F337" s="4">
        <v>0</v>
      </c>
      <c r="G337" s="4">
        <v>1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f t="shared" si="10"/>
        <v>87.67</v>
      </c>
      <c r="N337" t="str">
        <f t="shared" si="11"/>
        <v>Medio</v>
      </c>
    </row>
    <row r="338" spans="1:14" x14ac:dyDescent="0.3">
      <c r="A338" s="4">
        <v>35</v>
      </c>
      <c r="B338" s="4">
        <v>28.05</v>
      </c>
      <c r="C338" s="4">
        <v>91</v>
      </c>
      <c r="D338" s="4">
        <v>59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f t="shared" si="10"/>
        <v>69.67</v>
      </c>
      <c r="N338" t="str">
        <f t="shared" si="11"/>
        <v>Ninguno</v>
      </c>
    </row>
    <row r="339" spans="1:14" x14ac:dyDescent="0.3">
      <c r="A339" s="4">
        <v>29</v>
      </c>
      <c r="B339" s="4">
        <v>25.51</v>
      </c>
      <c r="C339" s="4">
        <v>99</v>
      </c>
      <c r="D339" s="4">
        <v>72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f t="shared" si="10"/>
        <v>81</v>
      </c>
      <c r="N339" t="str">
        <f t="shared" si="11"/>
        <v>Ninguno</v>
      </c>
    </row>
    <row r="340" spans="1:14" x14ac:dyDescent="0.3">
      <c r="A340" s="4">
        <v>26</v>
      </c>
      <c r="B340" s="4">
        <v>23.35</v>
      </c>
      <c r="C340" s="4">
        <v>109</v>
      </c>
      <c r="D340" s="4">
        <v>54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f t="shared" si="10"/>
        <v>72.33</v>
      </c>
      <c r="N340" t="str">
        <f t="shared" si="11"/>
        <v>Ninguno</v>
      </c>
    </row>
    <row r="341" spans="1:14" x14ac:dyDescent="0.3">
      <c r="A341" s="4">
        <v>24</v>
      </c>
      <c r="B341" s="4">
        <v>29.17</v>
      </c>
      <c r="C341" s="4">
        <v>114</v>
      </c>
      <c r="D341" s="4">
        <v>81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f t="shared" si="10"/>
        <v>92</v>
      </c>
      <c r="N341" t="str">
        <f t="shared" si="11"/>
        <v>Ninguno</v>
      </c>
    </row>
    <row r="342" spans="1:14" x14ac:dyDescent="0.3">
      <c r="A342" s="4">
        <v>30</v>
      </c>
      <c r="B342" s="4">
        <v>33.83</v>
      </c>
      <c r="C342" s="4">
        <v>130</v>
      </c>
      <c r="D342" s="4">
        <v>61</v>
      </c>
      <c r="E342" s="4">
        <v>0</v>
      </c>
      <c r="F342" s="4">
        <v>1</v>
      </c>
      <c r="G342" s="4">
        <v>0</v>
      </c>
      <c r="H342" s="4">
        <v>0</v>
      </c>
      <c r="I342" s="4">
        <v>1</v>
      </c>
      <c r="J342" s="4">
        <v>0</v>
      </c>
      <c r="K342" s="4">
        <v>0</v>
      </c>
      <c r="L342" s="4">
        <v>0</v>
      </c>
      <c r="M342" s="4">
        <f t="shared" si="10"/>
        <v>84</v>
      </c>
      <c r="N342" t="str">
        <f t="shared" si="11"/>
        <v>Alto</v>
      </c>
    </row>
    <row r="343" spans="1:14" x14ac:dyDescent="0.3">
      <c r="A343" s="4">
        <v>27</v>
      </c>
      <c r="B343" s="4">
        <v>23.59</v>
      </c>
      <c r="C343" s="4">
        <v>110</v>
      </c>
      <c r="D343" s="4">
        <v>73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f t="shared" si="10"/>
        <v>85.33</v>
      </c>
      <c r="N343" t="str">
        <f t="shared" si="11"/>
        <v>Ninguno</v>
      </c>
    </row>
    <row r="344" spans="1:14" x14ac:dyDescent="0.3">
      <c r="A344" s="4">
        <v>35</v>
      </c>
      <c r="B344" s="4">
        <v>22.25</v>
      </c>
      <c r="C344" s="4">
        <v>127</v>
      </c>
      <c r="D344" s="4">
        <v>101</v>
      </c>
      <c r="E344" s="4">
        <v>1</v>
      </c>
      <c r="F344" s="4">
        <v>1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f t="shared" si="10"/>
        <v>109.67</v>
      </c>
      <c r="N344" t="str">
        <f t="shared" si="11"/>
        <v>Alto</v>
      </c>
    </row>
    <row r="345" spans="1:14" x14ac:dyDescent="0.3">
      <c r="A345" s="4">
        <v>30</v>
      </c>
      <c r="B345" s="4">
        <v>21.99</v>
      </c>
      <c r="C345" s="4">
        <v>107</v>
      </c>
      <c r="D345" s="4">
        <v>81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f t="shared" si="10"/>
        <v>89.67</v>
      </c>
      <c r="N345" t="str">
        <f t="shared" si="11"/>
        <v>Ninguno</v>
      </c>
    </row>
    <row r="346" spans="1:14" x14ac:dyDescent="0.3">
      <c r="A346" s="4">
        <v>29</v>
      </c>
      <c r="B346" s="4">
        <v>27.19</v>
      </c>
      <c r="C346" s="4">
        <v>166</v>
      </c>
      <c r="D346" s="4">
        <v>122</v>
      </c>
      <c r="E346" s="4">
        <v>1</v>
      </c>
      <c r="F346" s="4">
        <v>1</v>
      </c>
      <c r="G346" s="4">
        <v>0</v>
      </c>
      <c r="H346" s="4">
        <v>1</v>
      </c>
      <c r="I346" s="4">
        <v>0</v>
      </c>
      <c r="J346" s="4">
        <v>0</v>
      </c>
      <c r="K346" s="4">
        <v>0</v>
      </c>
      <c r="L346" s="4">
        <v>1</v>
      </c>
      <c r="M346" s="4">
        <f t="shared" si="10"/>
        <v>136.66999999999999</v>
      </c>
      <c r="N346" t="str">
        <f t="shared" si="11"/>
        <v>Hospitalización urgente</v>
      </c>
    </row>
    <row r="347" spans="1:14" x14ac:dyDescent="0.3">
      <c r="A347" s="4">
        <v>32</v>
      </c>
      <c r="B347" s="4">
        <v>25.29</v>
      </c>
      <c r="C347" s="4">
        <v>111</v>
      </c>
      <c r="D347" s="4">
        <v>79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f t="shared" si="10"/>
        <v>89.67</v>
      </c>
      <c r="N347" t="str">
        <f t="shared" si="11"/>
        <v>Ninguno</v>
      </c>
    </row>
    <row r="348" spans="1:14" x14ac:dyDescent="0.3">
      <c r="A348" s="4">
        <v>31</v>
      </c>
      <c r="B348" s="4">
        <v>28.05</v>
      </c>
      <c r="C348" s="4">
        <v>208</v>
      </c>
      <c r="D348" s="4">
        <v>128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f t="shared" si="10"/>
        <v>154.66999999999999</v>
      </c>
      <c r="N348" t="str">
        <f t="shared" si="11"/>
        <v>Hospitalización urgente</v>
      </c>
    </row>
    <row r="349" spans="1:14" x14ac:dyDescent="0.3">
      <c r="A349" s="4">
        <v>41</v>
      </c>
      <c r="B349" s="4">
        <v>38.020000000000003</v>
      </c>
      <c r="C349" s="4">
        <v>111</v>
      </c>
      <c r="D349" s="4">
        <v>101</v>
      </c>
      <c r="E349" s="4">
        <v>1</v>
      </c>
      <c r="F349" s="4">
        <v>1</v>
      </c>
      <c r="G349" s="4">
        <v>0</v>
      </c>
      <c r="H349" s="4">
        <v>0</v>
      </c>
      <c r="I349" s="4">
        <v>0</v>
      </c>
      <c r="J349" s="4">
        <v>0</v>
      </c>
      <c r="K349" s="4">
        <v>1</v>
      </c>
      <c r="L349" s="4">
        <v>1</v>
      </c>
      <c r="M349" s="4">
        <f t="shared" si="10"/>
        <v>104.33</v>
      </c>
      <c r="N349" t="str">
        <f t="shared" si="11"/>
        <v>Alto</v>
      </c>
    </row>
    <row r="350" spans="1:14" x14ac:dyDescent="0.3">
      <c r="A350" s="4">
        <v>28</v>
      </c>
      <c r="B350" s="4">
        <v>39.76</v>
      </c>
      <c r="C350" s="4">
        <v>121</v>
      </c>
      <c r="D350" s="4">
        <v>61</v>
      </c>
      <c r="E350" s="4">
        <v>0</v>
      </c>
      <c r="F350" s="4">
        <v>1</v>
      </c>
      <c r="G350" s="4">
        <v>1</v>
      </c>
      <c r="H350" s="4">
        <v>0</v>
      </c>
      <c r="I350" s="4">
        <v>1</v>
      </c>
      <c r="J350" s="4">
        <v>0</v>
      </c>
      <c r="K350" s="4">
        <v>0</v>
      </c>
      <c r="L350" s="4">
        <v>0</v>
      </c>
      <c r="M350" s="4">
        <f t="shared" si="10"/>
        <v>81</v>
      </c>
      <c r="N350" t="str">
        <f t="shared" si="11"/>
        <v>Alto</v>
      </c>
    </row>
    <row r="351" spans="1:14" x14ac:dyDescent="0.3">
      <c r="A351" s="4">
        <v>34</v>
      </c>
      <c r="B351" s="4">
        <v>21.69</v>
      </c>
      <c r="C351" s="4">
        <v>116</v>
      </c>
      <c r="D351" s="4">
        <v>85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f t="shared" si="10"/>
        <v>95.33</v>
      </c>
      <c r="N351" t="str">
        <f t="shared" si="11"/>
        <v>Medio</v>
      </c>
    </row>
    <row r="352" spans="1:14" x14ac:dyDescent="0.3">
      <c r="A352" s="4">
        <v>39</v>
      </c>
      <c r="B352" s="4">
        <v>27.92</v>
      </c>
      <c r="C352" s="4">
        <v>170</v>
      </c>
      <c r="D352" s="4">
        <v>125</v>
      </c>
      <c r="E352" s="4">
        <v>1</v>
      </c>
      <c r="F352" s="4">
        <v>1</v>
      </c>
      <c r="G352" s="4">
        <v>1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>
        <f t="shared" si="10"/>
        <v>140</v>
      </c>
      <c r="N352" t="str">
        <f t="shared" si="11"/>
        <v>Hospitalización urgente</v>
      </c>
    </row>
    <row r="353" spans="1:14" x14ac:dyDescent="0.3">
      <c r="A353" s="4">
        <v>27</v>
      </c>
      <c r="B353" s="4">
        <v>18.649999999999999</v>
      </c>
      <c r="C353" s="4">
        <v>105</v>
      </c>
      <c r="D353" s="4">
        <v>56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f t="shared" si="10"/>
        <v>72.33</v>
      </c>
      <c r="N353" t="str">
        <f t="shared" si="11"/>
        <v>Ninguno</v>
      </c>
    </row>
    <row r="354" spans="1:14" x14ac:dyDescent="0.3">
      <c r="A354" s="4">
        <v>43</v>
      </c>
      <c r="B354" s="4">
        <v>23.95</v>
      </c>
      <c r="C354" s="4">
        <v>135</v>
      </c>
      <c r="D354" s="4">
        <v>103</v>
      </c>
      <c r="E354" s="4">
        <v>0</v>
      </c>
      <c r="F354" s="4">
        <v>1</v>
      </c>
      <c r="G354" s="4">
        <v>1</v>
      </c>
      <c r="H354" s="4">
        <v>1</v>
      </c>
      <c r="I354" s="4">
        <v>0</v>
      </c>
      <c r="J354" s="4">
        <v>1</v>
      </c>
      <c r="K354" s="4">
        <v>1</v>
      </c>
      <c r="L354" s="4">
        <v>0</v>
      </c>
      <c r="M354" s="4">
        <f t="shared" si="10"/>
        <v>113.67</v>
      </c>
      <c r="N354" t="str">
        <f t="shared" si="11"/>
        <v>Alto</v>
      </c>
    </row>
    <row r="355" spans="1:14" x14ac:dyDescent="0.3">
      <c r="A355" s="4">
        <v>43</v>
      </c>
      <c r="B355" s="4">
        <v>25.46</v>
      </c>
      <c r="C355" s="4">
        <v>144</v>
      </c>
      <c r="D355" s="4">
        <v>96</v>
      </c>
      <c r="E355" s="4">
        <v>0</v>
      </c>
      <c r="F355" s="4">
        <v>0</v>
      </c>
      <c r="G355" s="4">
        <v>1</v>
      </c>
      <c r="H355" s="4">
        <v>1</v>
      </c>
      <c r="I355" s="4">
        <v>0</v>
      </c>
      <c r="J355" s="4">
        <v>0</v>
      </c>
      <c r="K355" s="4">
        <v>0</v>
      </c>
      <c r="L355" s="4">
        <v>1</v>
      </c>
      <c r="M355" s="4">
        <f t="shared" si="10"/>
        <v>112</v>
      </c>
      <c r="N355" t="str">
        <f t="shared" si="11"/>
        <v>Medio</v>
      </c>
    </row>
    <row r="356" spans="1:14" x14ac:dyDescent="0.3">
      <c r="A356" s="4">
        <v>44</v>
      </c>
      <c r="B356" s="4">
        <v>44.49</v>
      </c>
      <c r="C356" s="4">
        <v>208</v>
      </c>
      <c r="D356" s="4">
        <v>131</v>
      </c>
      <c r="E356" s="4">
        <v>1</v>
      </c>
      <c r="F356" s="4">
        <v>0</v>
      </c>
      <c r="G356" s="4">
        <v>1</v>
      </c>
      <c r="H356" s="4">
        <v>0</v>
      </c>
      <c r="I356" s="4">
        <v>1</v>
      </c>
      <c r="J356" s="4">
        <v>1</v>
      </c>
      <c r="K356" s="4">
        <v>0</v>
      </c>
      <c r="L356" s="4">
        <v>0</v>
      </c>
      <c r="M356" s="4">
        <f t="shared" si="10"/>
        <v>156.66999999999999</v>
      </c>
      <c r="N356" t="str">
        <f t="shared" si="11"/>
        <v>Hospitalización urgente</v>
      </c>
    </row>
    <row r="357" spans="1:14" x14ac:dyDescent="0.3">
      <c r="A357" s="4">
        <v>18</v>
      </c>
      <c r="B357" s="4">
        <v>34.33</v>
      </c>
      <c r="C357" s="4">
        <v>195</v>
      </c>
      <c r="D357" s="4">
        <v>140</v>
      </c>
      <c r="E357" s="4">
        <v>0</v>
      </c>
      <c r="F357" s="4">
        <v>0</v>
      </c>
      <c r="G357" s="4">
        <v>0</v>
      </c>
      <c r="H357" s="4">
        <v>1</v>
      </c>
      <c r="I357" s="4">
        <v>0</v>
      </c>
      <c r="J357" s="4">
        <v>0</v>
      </c>
      <c r="K357" s="4">
        <v>0</v>
      </c>
      <c r="L357" s="4">
        <v>1</v>
      </c>
      <c r="M357" s="4">
        <f t="shared" si="10"/>
        <v>158.33000000000001</v>
      </c>
      <c r="N357" t="str">
        <f t="shared" si="11"/>
        <v>Hospitalización urgente</v>
      </c>
    </row>
    <row r="358" spans="1:14" x14ac:dyDescent="0.3">
      <c r="A358" s="4">
        <v>43</v>
      </c>
      <c r="B358" s="4">
        <v>35.96</v>
      </c>
      <c r="C358" s="4">
        <v>138</v>
      </c>
      <c r="D358" s="4">
        <v>81</v>
      </c>
      <c r="E358" s="4">
        <v>0</v>
      </c>
      <c r="F358" s="4">
        <v>0</v>
      </c>
      <c r="G358" s="4">
        <v>1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f t="shared" si="10"/>
        <v>100</v>
      </c>
      <c r="N358" t="str">
        <f t="shared" si="11"/>
        <v>Medio</v>
      </c>
    </row>
    <row r="359" spans="1:14" x14ac:dyDescent="0.3">
      <c r="A359" s="4">
        <v>25</v>
      </c>
      <c r="B359" s="4">
        <v>25.93</v>
      </c>
      <c r="C359" s="4">
        <v>213</v>
      </c>
      <c r="D359" s="4">
        <v>138</v>
      </c>
      <c r="E359" s="4">
        <v>1</v>
      </c>
      <c r="F359" s="4">
        <v>0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f t="shared" si="10"/>
        <v>163</v>
      </c>
      <c r="N359" t="str">
        <f t="shared" si="11"/>
        <v>Hospitalización urgente</v>
      </c>
    </row>
    <row r="360" spans="1:14" x14ac:dyDescent="0.3">
      <c r="A360" s="4">
        <v>39</v>
      </c>
      <c r="B360" s="4">
        <v>40.43</v>
      </c>
      <c r="C360" s="4">
        <v>208</v>
      </c>
      <c r="D360" s="4">
        <v>127</v>
      </c>
      <c r="E360" s="4">
        <v>1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f t="shared" si="10"/>
        <v>154</v>
      </c>
      <c r="N360" t="str">
        <f t="shared" si="11"/>
        <v>Hospitalización urgente</v>
      </c>
    </row>
    <row r="361" spans="1:14" x14ac:dyDescent="0.3">
      <c r="A361" s="4">
        <v>53</v>
      </c>
      <c r="B361" s="4">
        <v>24.83</v>
      </c>
      <c r="C361" s="4">
        <v>186</v>
      </c>
      <c r="D361" s="4">
        <v>135</v>
      </c>
      <c r="E361" s="4">
        <v>1</v>
      </c>
      <c r="F361" s="4">
        <v>0</v>
      </c>
      <c r="G361" s="4">
        <v>1</v>
      </c>
      <c r="H361" s="4">
        <v>0</v>
      </c>
      <c r="I361" s="4">
        <v>1</v>
      </c>
      <c r="J361" s="4">
        <v>0</v>
      </c>
      <c r="K361" s="4">
        <v>0</v>
      </c>
      <c r="L361" s="4">
        <v>0</v>
      </c>
      <c r="M361" s="4">
        <f t="shared" si="10"/>
        <v>152</v>
      </c>
      <c r="N361" t="str">
        <f t="shared" si="11"/>
        <v>Hospitalización urgente</v>
      </c>
    </row>
    <row r="362" spans="1:14" x14ac:dyDescent="0.3">
      <c r="A362" s="4">
        <v>22</v>
      </c>
      <c r="B362" s="4">
        <v>30.87</v>
      </c>
      <c r="C362" s="4">
        <v>107</v>
      </c>
      <c r="D362" s="4">
        <v>115</v>
      </c>
      <c r="E362" s="4">
        <v>0</v>
      </c>
      <c r="F362" s="4">
        <v>1</v>
      </c>
      <c r="G362" s="4">
        <v>1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f t="shared" si="10"/>
        <v>109.67</v>
      </c>
      <c r="N362" t="str">
        <f t="shared" si="11"/>
        <v>Alto</v>
      </c>
    </row>
    <row r="363" spans="1:14" x14ac:dyDescent="0.3">
      <c r="A363" s="4">
        <v>18</v>
      </c>
      <c r="B363" s="4">
        <v>22.64</v>
      </c>
      <c r="C363" s="4">
        <v>105</v>
      </c>
      <c r="D363" s="4">
        <v>55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f t="shared" si="10"/>
        <v>71.67</v>
      </c>
      <c r="N363" t="str">
        <f t="shared" si="11"/>
        <v>Ninguno</v>
      </c>
    </row>
    <row r="364" spans="1:14" x14ac:dyDescent="0.3">
      <c r="A364" s="4">
        <v>27</v>
      </c>
      <c r="B364" s="4">
        <v>23.72</v>
      </c>
      <c r="C364" s="4">
        <v>115</v>
      </c>
      <c r="D364" s="4">
        <v>65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f t="shared" si="10"/>
        <v>81.67</v>
      </c>
      <c r="N364" t="str">
        <f t="shared" si="11"/>
        <v>Ninguno</v>
      </c>
    </row>
    <row r="365" spans="1:14" x14ac:dyDescent="0.3">
      <c r="A365" s="4">
        <v>40</v>
      </c>
      <c r="B365" s="4">
        <v>26.48</v>
      </c>
      <c r="C365" s="4">
        <v>130</v>
      </c>
      <c r="D365" s="4">
        <v>93</v>
      </c>
      <c r="E365" s="4">
        <v>0</v>
      </c>
      <c r="F365" s="4">
        <v>0</v>
      </c>
      <c r="G365" s="4">
        <v>1</v>
      </c>
      <c r="H365" s="4">
        <v>1</v>
      </c>
      <c r="I365" s="4">
        <v>0</v>
      </c>
      <c r="J365" s="4">
        <v>0</v>
      </c>
      <c r="K365" s="4">
        <v>0</v>
      </c>
      <c r="L365" s="4">
        <v>0</v>
      </c>
      <c r="M365" s="4">
        <f t="shared" si="10"/>
        <v>105.33</v>
      </c>
      <c r="N365" t="str">
        <f t="shared" si="11"/>
        <v>Medio</v>
      </c>
    </row>
    <row r="366" spans="1:14" x14ac:dyDescent="0.3">
      <c r="A366" s="4">
        <v>48</v>
      </c>
      <c r="B366" s="4">
        <v>32.880000000000003</v>
      </c>
      <c r="C366" s="4">
        <v>114</v>
      </c>
      <c r="D366" s="4">
        <v>80</v>
      </c>
      <c r="E366" s="4">
        <v>0</v>
      </c>
      <c r="F366" s="4">
        <v>0</v>
      </c>
      <c r="G366" s="4">
        <v>1</v>
      </c>
      <c r="H366" s="4">
        <v>1</v>
      </c>
      <c r="I366" s="4">
        <v>0</v>
      </c>
      <c r="J366" s="4">
        <v>0</v>
      </c>
      <c r="K366" s="4">
        <v>0</v>
      </c>
      <c r="L366" s="4">
        <v>0</v>
      </c>
      <c r="M366" s="4">
        <f t="shared" si="10"/>
        <v>91.33</v>
      </c>
      <c r="N366" t="str">
        <f t="shared" si="11"/>
        <v>Medio</v>
      </c>
    </row>
    <row r="367" spans="1:14" x14ac:dyDescent="0.3">
      <c r="A367" s="4">
        <v>42</v>
      </c>
      <c r="B367" s="4">
        <v>31.18</v>
      </c>
      <c r="C367" s="4">
        <v>186</v>
      </c>
      <c r="D367" s="4">
        <v>130</v>
      </c>
      <c r="E367" s="4">
        <v>1</v>
      </c>
      <c r="F367" s="4">
        <v>0</v>
      </c>
      <c r="G367" s="4">
        <v>0</v>
      </c>
      <c r="H367" s="4">
        <v>0</v>
      </c>
      <c r="I367" s="4">
        <v>1</v>
      </c>
      <c r="J367" s="4">
        <v>0</v>
      </c>
      <c r="K367" s="4">
        <v>0</v>
      </c>
      <c r="L367" s="4">
        <v>0</v>
      </c>
      <c r="M367" s="4">
        <f t="shared" si="10"/>
        <v>148.66999999999999</v>
      </c>
      <c r="N367" t="str">
        <f t="shared" si="11"/>
        <v>Hospitalización urgente</v>
      </c>
    </row>
    <row r="368" spans="1:14" x14ac:dyDescent="0.3">
      <c r="A368" s="4">
        <v>23</v>
      </c>
      <c r="B368" s="4">
        <v>34.33</v>
      </c>
      <c r="C368" s="4">
        <v>108</v>
      </c>
      <c r="D368" s="4">
        <v>70</v>
      </c>
      <c r="E368" s="4">
        <v>0</v>
      </c>
      <c r="F368" s="4">
        <v>0</v>
      </c>
      <c r="G368" s="4">
        <v>1</v>
      </c>
      <c r="H368" s="4">
        <v>1</v>
      </c>
      <c r="I368" s="4">
        <v>0</v>
      </c>
      <c r="J368" s="4">
        <v>0</v>
      </c>
      <c r="K368" s="4">
        <v>0</v>
      </c>
      <c r="L368" s="4">
        <v>0</v>
      </c>
      <c r="M368" s="4">
        <f t="shared" si="10"/>
        <v>82.67</v>
      </c>
      <c r="N368" t="str">
        <f t="shared" si="11"/>
        <v>Medio</v>
      </c>
    </row>
    <row r="369" spans="1:14" x14ac:dyDescent="0.3">
      <c r="A369" s="4">
        <v>52</v>
      </c>
      <c r="B369" s="4">
        <v>39.14</v>
      </c>
      <c r="C369" s="4">
        <v>156</v>
      </c>
      <c r="D369" s="4">
        <v>92</v>
      </c>
      <c r="E369" s="4">
        <v>0</v>
      </c>
      <c r="F369" s="4">
        <v>0</v>
      </c>
      <c r="G369" s="4">
        <v>1</v>
      </c>
      <c r="H369" s="4">
        <v>1</v>
      </c>
      <c r="I369" s="4">
        <v>0</v>
      </c>
      <c r="J369" s="4">
        <v>0</v>
      </c>
      <c r="K369" s="4">
        <v>0</v>
      </c>
      <c r="L369" s="4">
        <v>0</v>
      </c>
      <c r="M369" s="4">
        <f t="shared" si="10"/>
        <v>113.33</v>
      </c>
      <c r="N369" t="str">
        <f t="shared" si="11"/>
        <v>Medio</v>
      </c>
    </row>
    <row r="370" spans="1:14" x14ac:dyDescent="0.3">
      <c r="A370" s="4">
        <v>33</v>
      </c>
      <c r="B370" s="4">
        <v>27.75</v>
      </c>
      <c r="C370" s="4">
        <v>106</v>
      </c>
      <c r="D370" s="4">
        <v>73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f t="shared" si="10"/>
        <v>84</v>
      </c>
      <c r="N370" t="str">
        <f t="shared" si="11"/>
        <v>Ninguno</v>
      </c>
    </row>
    <row r="371" spans="1:14" x14ac:dyDescent="0.3">
      <c r="A371" s="4">
        <v>30</v>
      </c>
      <c r="B371" s="4">
        <v>29.35</v>
      </c>
      <c r="C371" s="4">
        <v>113</v>
      </c>
      <c r="D371" s="4">
        <v>78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f t="shared" si="10"/>
        <v>89.67</v>
      </c>
      <c r="N371" t="str">
        <f t="shared" si="11"/>
        <v>Ninguno</v>
      </c>
    </row>
    <row r="372" spans="1:14" x14ac:dyDescent="0.3">
      <c r="A372" s="4">
        <v>44</v>
      </c>
      <c r="B372" s="4">
        <v>33.69</v>
      </c>
      <c r="C372" s="4">
        <v>196</v>
      </c>
      <c r="D372" s="4">
        <v>131</v>
      </c>
      <c r="E372" s="4">
        <v>1</v>
      </c>
      <c r="F372" s="4">
        <v>0</v>
      </c>
      <c r="G372" s="4">
        <v>1</v>
      </c>
      <c r="H372" s="4">
        <v>0</v>
      </c>
      <c r="I372" s="4">
        <v>0</v>
      </c>
      <c r="J372" s="4">
        <v>0</v>
      </c>
      <c r="K372" s="4">
        <v>0</v>
      </c>
      <c r="L372" s="4">
        <v>1</v>
      </c>
      <c r="M372" s="4">
        <f t="shared" si="10"/>
        <v>152.66999999999999</v>
      </c>
      <c r="N372" t="str">
        <f t="shared" si="11"/>
        <v>Hospitalización urgente</v>
      </c>
    </row>
    <row r="373" spans="1:14" x14ac:dyDescent="0.3">
      <c r="A373" s="4">
        <v>19</v>
      </c>
      <c r="B373" s="4">
        <v>20.93</v>
      </c>
      <c r="C373" s="4">
        <v>95</v>
      </c>
      <c r="D373" s="4">
        <v>79</v>
      </c>
      <c r="E373" s="4">
        <v>0</v>
      </c>
      <c r="F373" s="4">
        <v>1</v>
      </c>
      <c r="G373" s="4">
        <v>1</v>
      </c>
      <c r="H373" s="4">
        <v>1</v>
      </c>
      <c r="I373" s="4">
        <v>0</v>
      </c>
      <c r="J373" s="4">
        <v>0</v>
      </c>
      <c r="K373" s="4">
        <v>0</v>
      </c>
      <c r="L373" s="4">
        <v>0</v>
      </c>
      <c r="M373" s="4">
        <f t="shared" si="10"/>
        <v>84.33</v>
      </c>
      <c r="N373" t="str">
        <f t="shared" si="11"/>
        <v>Alto</v>
      </c>
    </row>
    <row r="374" spans="1:14" x14ac:dyDescent="0.3">
      <c r="A374" s="4">
        <v>23</v>
      </c>
      <c r="B374" s="4">
        <v>22.17</v>
      </c>
      <c r="C374" s="4">
        <v>111</v>
      </c>
      <c r="D374" s="4">
        <v>95</v>
      </c>
      <c r="E374" s="4">
        <v>0</v>
      </c>
      <c r="F374" s="4">
        <v>1</v>
      </c>
      <c r="G374" s="4">
        <v>0</v>
      </c>
      <c r="H374" s="4">
        <v>0</v>
      </c>
      <c r="I374" s="4">
        <v>1</v>
      </c>
      <c r="J374" s="4">
        <v>1</v>
      </c>
      <c r="K374" s="4">
        <v>0</v>
      </c>
      <c r="L374" s="4">
        <v>0</v>
      </c>
      <c r="M374" s="4">
        <f t="shared" si="10"/>
        <v>100.33</v>
      </c>
      <c r="N374" t="str">
        <f t="shared" si="11"/>
        <v>Alto</v>
      </c>
    </row>
    <row r="375" spans="1:14" x14ac:dyDescent="0.3">
      <c r="A375" s="4">
        <v>39</v>
      </c>
      <c r="B375" s="4">
        <v>26.74</v>
      </c>
      <c r="C375" s="4">
        <v>102</v>
      </c>
      <c r="D375" s="4">
        <v>71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f t="shared" si="10"/>
        <v>81.33</v>
      </c>
      <c r="N375" t="str">
        <f t="shared" si="11"/>
        <v>Ninguno</v>
      </c>
    </row>
    <row r="376" spans="1:14" x14ac:dyDescent="0.3">
      <c r="A376" s="4">
        <v>49</v>
      </c>
      <c r="B376" s="4">
        <v>33.92</v>
      </c>
      <c r="C376" s="4">
        <v>170</v>
      </c>
      <c r="D376" s="4">
        <v>131</v>
      </c>
      <c r="E376" s="4">
        <v>0</v>
      </c>
      <c r="F376" s="4">
        <v>0</v>
      </c>
      <c r="G376" s="4">
        <v>1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f t="shared" si="10"/>
        <v>144</v>
      </c>
      <c r="N376" t="str">
        <f t="shared" si="11"/>
        <v>Hospitalización urgente</v>
      </c>
    </row>
    <row r="377" spans="1:14" x14ac:dyDescent="0.3">
      <c r="A377" s="4">
        <v>40</v>
      </c>
      <c r="B377" s="4">
        <v>39.72</v>
      </c>
      <c r="C377" s="4">
        <v>120</v>
      </c>
      <c r="D377" s="4">
        <v>100</v>
      </c>
      <c r="E377" s="4">
        <v>0</v>
      </c>
      <c r="F377" s="4">
        <v>0</v>
      </c>
      <c r="G377" s="4">
        <v>1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f t="shared" si="10"/>
        <v>106.67</v>
      </c>
      <c r="N377" t="str">
        <f t="shared" si="11"/>
        <v>Medio</v>
      </c>
    </row>
    <row r="378" spans="1:14" x14ac:dyDescent="0.3">
      <c r="A378" s="4">
        <v>40</v>
      </c>
      <c r="B378" s="4">
        <v>40.44</v>
      </c>
      <c r="C378" s="4">
        <v>92</v>
      </c>
      <c r="D378" s="4">
        <v>118</v>
      </c>
      <c r="E378" s="4">
        <v>1</v>
      </c>
      <c r="F378" s="4">
        <v>0</v>
      </c>
      <c r="G378" s="4">
        <v>0</v>
      </c>
      <c r="H378" s="4">
        <v>1</v>
      </c>
      <c r="I378" s="4">
        <v>1</v>
      </c>
      <c r="J378" s="4">
        <v>0</v>
      </c>
      <c r="K378" s="4">
        <v>0</v>
      </c>
      <c r="L378" s="4">
        <v>0</v>
      </c>
      <c r="M378" s="4">
        <f t="shared" si="10"/>
        <v>100.67</v>
      </c>
      <c r="N378" t="str">
        <f t="shared" si="11"/>
        <v>Alto</v>
      </c>
    </row>
    <row r="379" spans="1:14" x14ac:dyDescent="0.3">
      <c r="A379" s="4">
        <v>52</v>
      </c>
      <c r="B379" s="4">
        <v>33.369999999999997</v>
      </c>
      <c r="C379" s="4">
        <v>134</v>
      </c>
      <c r="D379" s="4">
        <v>68</v>
      </c>
      <c r="E379" s="4">
        <v>0</v>
      </c>
      <c r="F379" s="4">
        <v>0</v>
      </c>
      <c r="G379" s="4">
        <v>1</v>
      </c>
      <c r="H379" s="4">
        <v>1</v>
      </c>
      <c r="I379" s="4">
        <v>0</v>
      </c>
      <c r="J379" s="4">
        <v>0</v>
      </c>
      <c r="K379" s="4">
        <v>0</v>
      </c>
      <c r="L379" s="4">
        <v>0</v>
      </c>
      <c r="M379" s="4">
        <f t="shared" si="10"/>
        <v>90</v>
      </c>
      <c r="N379" t="str">
        <f t="shared" si="11"/>
        <v>Medio</v>
      </c>
    </row>
    <row r="380" spans="1:14" x14ac:dyDescent="0.3">
      <c r="A380" s="4">
        <v>47</v>
      </c>
      <c r="B380" s="4">
        <v>29.47</v>
      </c>
      <c r="C380" s="4">
        <v>132</v>
      </c>
      <c r="D380" s="4">
        <v>109</v>
      </c>
      <c r="E380" s="4">
        <v>1</v>
      </c>
      <c r="F380" s="4">
        <v>0</v>
      </c>
      <c r="G380" s="4">
        <v>0</v>
      </c>
      <c r="H380" s="4">
        <v>0</v>
      </c>
      <c r="I380" s="4">
        <v>1</v>
      </c>
      <c r="J380" s="4">
        <v>0</v>
      </c>
      <c r="K380" s="4">
        <v>0</v>
      </c>
      <c r="L380" s="4">
        <v>0</v>
      </c>
      <c r="M380" s="4">
        <f t="shared" si="10"/>
        <v>116.67</v>
      </c>
      <c r="N380" t="str">
        <f t="shared" si="11"/>
        <v>Alto</v>
      </c>
    </row>
    <row r="381" spans="1:14" x14ac:dyDescent="0.3">
      <c r="A381" s="4">
        <v>46</v>
      </c>
      <c r="B381" s="4">
        <v>39.869999999999997</v>
      </c>
      <c r="C381" s="4">
        <v>163</v>
      </c>
      <c r="D381" s="4">
        <v>124</v>
      </c>
      <c r="E381" s="4">
        <v>0</v>
      </c>
      <c r="F381" s="4">
        <v>1</v>
      </c>
      <c r="G381" s="4">
        <v>1</v>
      </c>
      <c r="H381" s="4">
        <v>1</v>
      </c>
      <c r="I381" s="4">
        <v>0</v>
      </c>
      <c r="J381" s="4">
        <v>1</v>
      </c>
      <c r="K381" s="4">
        <v>0</v>
      </c>
      <c r="L381" s="4">
        <v>1</v>
      </c>
      <c r="M381" s="4">
        <f t="shared" si="10"/>
        <v>137</v>
      </c>
      <c r="N381" t="str">
        <f t="shared" si="11"/>
        <v>Hospitalización urgente</v>
      </c>
    </row>
    <row r="382" spans="1:14" x14ac:dyDescent="0.3">
      <c r="A382" s="4">
        <v>29</v>
      </c>
      <c r="B382" s="4">
        <v>34.229999999999997</v>
      </c>
      <c r="C382" s="4">
        <v>102</v>
      </c>
      <c r="D382" s="4">
        <v>106</v>
      </c>
      <c r="E382" s="4">
        <v>1</v>
      </c>
      <c r="F382" s="4">
        <v>1</v>
      </c>
      <c r="G382" s="4">
        <v>1</v>
      </c>
      <c r="H382" s="4">
        <v>0</v>
      </c>
      <c r="I382" s="4">
        <v>1</v>
      </c>
      <c r="J382" s="4">
        <v>0</v>
      </c>
      <c r="K382" s="4">
        <v>0</v>
      </c>
      <c r="L382" s="4">
        <v>0</v>
      </c>
      <c r="M382" s="4">
        <f t="shared" si="10"/>
        <v>103.33</v>
      </c>
      <c r="N382" t="str">
        <f t="shared" si="11"/>
        <v>Alto</v>
      </c>
    </row>
    <row r="383" spans="1:14" x14ac:dyDescent="0.3">
      <c r="A383" s="4">
        <v>31</v>
      </c>
      <c r="B383" s="4">
        <v>36.15</v>
      </c>
      <c r="C383" s="4">
        <v>166</v>
      </c>
      <c r="D383" s="4">
        <v>113</v>
      </c>
      <c r="E383" s="4">
        <v>0</v>
      </c>
      <c r="F383" s="4">
        <v>1</v>
      </c>
      <c r="G383" s="4">
        <v>1</v>
      </c>
      <c r="H383" s="4">
        <v>1</v>
      </c>
      <c r="I383" s="4">
        <v>0</v>
      </c>
      <c r="J383" s="4">
        <v>0</v>
      </c>
      <c r="K383" s="4">
        <v>0</v>
      </c>
      <c r="L383" s="4">
        <v>0</v>
      </c>
      <c r="M383" s="4">
        <f t="shared" si="10"/>
        <v>130.66999999999999</v>
      </c>
      <c r="N383" t="str">
        <f t="shared" si="11"/>
        <v>Hospitalización urgente</v>
      </c>
    </row>
    <row r="384" spans="1:14" x14ac:dyDescent="0.3">
      <c r="A384" s="4">
        <v>55</v>
      </c>
      <c r="B384" s="4">
        <v>25.53</v>
      </c>
      <c r="C384" s="4">
        <v>124</v>
      </c>
      <c r="D384" s="4">
        <v>79</v>
      </c>
      <c r="E384" s="4">
        <v>0</v>
      </c>
      <c r="F384" s="4">
        <v>0</v>
      </c>
      <c r="G384" s="4">
        <v>1</v>
      </c>
      <c r="H384" s="4">
        <v>1</v>
      </c>
      <c r="I384" s="4">
        <v>0</v>
      </c>
      <c r="J384" s="4">
        <v>0</v>
      </c>
      <c r="K384" s="4">
        <v>0</v>
      </c>
      <c r="L384" s="4">
        <v>0</v>
      </c>
      <c r="M384" s="4">
        <f t="shared" si="10"/>
        <v>94</v>
      </c>
      <c r="N384" t="str">
        <f t="shared" si="11"/>
        <v>Medio</v>
      </c>
    </row>
    <row r="385" spans="1:14" x14ac:dyDescent="0.3">
      <c r="A385" s="4">
        <v>35</v>
      </c>
      <c r="B385" s="4">
        <v>27.92</v>
      </c>
      <c r="C385" s="4">
        <v>100</v>
      </c>
      <c r="D385" s="4">
        <v>102</v>
      </c>
      <c r="E385" s="4">
        <v>0</v>
      </c>
      <c r="F385" s="4">
        <v>0</v>
      </c>
      <c r="G385" s="4">
        <v>1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  <c r="M385" s="4">
        <f t="shared" si="10"/>
        <v>100.67</v>
      </c>
      <c r="N385" t="str">
        <f t="shared" si="11"/>
        <v>Medio</v>
      </c>
    </row>
    <row r="386" spans="1:14" x14ac:dyDescent="0.3">
      <c r="A386" s="4">
        <v>54</v>
      </c>
      <c r="B386" s="4">
        <v>30.64</v>
      </c>
      <c r="C386" s="4">
        <v>114</v>
      </c>
      <c r="D386" s="4">
        <v>80</v>
      </c>
      <c r="E386" s="4">
        <v>0</v>
      </c>
      <c r="F386" s="4">
        <v>0</v>
      </c>
      <c r="G386" s="4">
        <v>1</v>
      </c>
      <c r="H386" s="4">
        <v>1</v>
      </c>
      <c r="I386" s="4">
        <v>0</v>
      </c>
      <c r="J386" s="4">
        <v>0</v>
      </c>
      <c r="K386" s="4">
        <v>0</v>
      </c>
      <c r="L386" s="4">
        <v>0</v>
      </c>
      <c r="M386" s="4">
        <f t="shared" si="10"/>
        <v>91.33</v>
      </c>
      <c r="N386" t="str">
        <f t="shared" si="11"/>
        <v>Medio</v>
      </c>
    </row>
    <row r="387" spans="1:14" x14ac:dyDescent="0.3">
      <c r="A387" s="4">
        <v>34</v>
      </c>
      <c r="B387" s="4">
        <v>42.99</v>
      </c>
      <c r="C387" s="4">
        <v>168</v>
      </c>
      <c r="D387" s="4">
        <v>138</v>
      </c>
      <c r="E387" s="4">
        <v>1</v>
      </c>
      <c r="F387" s="4">
        <v>1</v>
      </c>
      <c r="G387" s="4">
        <v>1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  <c r="M387" s="4">
        <f t="shared" ref="M387:M401" si="12">ROUND((MAX(C387, D387) + (2 * MIN(C387, D387))) / 3, 2)</f>
        <v>148</v>
      </c>
      <c r="N387" t="str">
        <f t="shared" ref="N387:N401" si="13">IF(OR(MAX(C387, D387)&gt;=160, MIN(C387, D387)&gt;=110), "Hospitalización urgente", IF(OR(E387=1, F387=1, I387=1, J387=1, (IF(A387&gt;40, 1.82, 0) + IF(B387&gt;=30, 2.47, 0) + IF(MAX(C387, D387)&gt;=140, 2.4, 0) + IF(MIN(C387, D387)&gt;=90, 1.4, 0) + IF(E387=1, 3.6, 0) + IF(F387=1, 3.6, 0) + IF(G387=1, 3, 0) + IF(H387=1, 3, 0) + IF(I387=1, 3.6, 0) + IF(J387=1, 2.9, 0))&gt;19.01), "Alto", IF(OR(K387=1, L387=1, M387&gt;95, (IF(A387&gt;40, 1.82, 0) + IF(B387&gt;=30, 2.47, 0) + IF(MAX(C387, D387)&gt;=140, 2.4, 0) + IF(MIN(C387, D387)&gt;=90, 1.4, 0) + IF(E387=1, 3.6, 0) + IF(F387=1, 3.6, 0) + IF(G387=1, 3, 0) + IF(H387=1, 3, 0) + IF(I387=1, 3.6, 0) + IF(J387=1, 2.9, 0))&gt;0), "Medio", "Ninguno")))</f>
        <v>Hospitalización urgente</v>
      </c>
    </row>
    <row r="388" spans="1:14" x14ac:dyDescent="0.3">
      <c r="A388" s="4">
        <v>29</v>
      </c>
      <c r="B388" s="4">
        <v>24.01</v>
      </c>
      <c r="C388" s="4">
        <v>109</v>
      </c>
      <c r="D388" s="4">
        <v>73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f t="shared" si="12"/>
        <v>85</v>
      </c>
      <c r="N388" t="str">
        <f t="shared" si="13"/>
        <v>Ninguno</v>
      </c>
    </row>
    <row r="389" spans="1:14" x14ac:dyDescent="0.3">
      <c r="A389" s="4">
        <v>55</v>
      </c>
      <c r="B389" s="4">
        <v>33.67</v>
      </c>
      <c r="C389" s="4">
        <v>181</v>
      </c>
      <c r="D389" s="4">
        <v>124</v>
      </c>
      <c r="E389" s="4">
        <v>0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1</v>
      </c>
      <c r="M389" s="4">
        <f t="shared" si="12"/>
        <v>143</v>
      </c>
      <c r="N389" t="str">
        <f t="shared" si="13"/>
        <v>Hospitalización urgente</v>
      </c>
    </row>
    <row r="390" spans="1:14" x14ac:dyDescent="0.3">
      <c r="A390" s="4">
        <v>37</v>
      </c>
      <c r="B390" s="4">
        <v>22.41</v>
      </c>
      <c r="C390" s="4">
        <v>94</v>
      </c>
      <c r="D390" s="4">
        <v>59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f t="shared" si="12"/>
        <v>70.67</v>
      </c>
      <c r="N390" t="str">
        <f t="shared" si="13"/>
        <v>Ninguno</v>
      </c>
    </row>
    <row r="391" spans="1:14" x14ac:dyDescent="0.3">
      <c r="A391" s="4">
        <v>51</v>
      </c>
      <c r="B391" s="4">
        <v>38.28</v>
      </c>
      <c r="C391" s="4">
        <v>166</v>
      </c>
      <c r="D391" s="4">
        <v>118</v>
      </c>
      <c r="E391" s="4">
        <v>1</v>
      </c>
      <c r="F391" s="4">
        <v>0</v>
      </c>
      <c r="G391" s="4">
        <v>1</v>
      </c>
      <c r="H391" s="4">
        <v>0</v>
      </c>
      <c r="I391" s="4">
        <v>1</v>
      </c>
      <c r="J391" s="4">
        <v>1</v>
      </c>
      <c r="K391" s="4">
        <v>0</v>
      </c>
      <c r="L391" s="4">
        <v>0</v>
      </c>
      <c r="M391" s="4">
        <f t="shared" si="12"/>
        <v>134</v>
      </c>
      <c r="N391" t="str">
        <f t="shared" si="13"/>
        <v>Hospitalización urgente</v>
      </c>
    </row>
    <row r="392" spans="1:14" x14ac:dyDescent="0.3">
      <c r="A392" s="4">
        <v>50</v>
      </c>
      <c r="B392" s="4">
        <v>24.19</v>
      </c>
      <c r="C392" s="4">
        <v>100</v>
      </c>
      <c r="D392" s="4">
        <v>118</v>
      </c>
      <c r="E392" s="4">
        <v>1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f t="shared" si="12"/>
        <v>106</v>
      </c>
      <c r="N392" t="str">
        <f t="shared" si="13"/>
        <v>Alto</v>
      </c>
    </row>
    <row r="393" spans="1:14" x14ac:dyDescent="0.3">
      <c r="A393" s="4">
        <v>55</v>
      </c>
      <c r="B393" s="4">
        <v>38.619999999999997</v>
      </c>
      <c r="C393" s="4">
        <v>138</v>
      </c>
      <c r="D393" s="4">
        <v>66</v>
      </c>
      <c r="E393" s="4">
        <v>0</v>
      </c>
      <c r="F393" s="4">
        <v>0</v>
      </c>
      <c r="G393" s="4">
        <v>1</v>
      </c>
      <c r="H393" s="4">
        <v>1</v>
      </c>
      <c r="I393" s="4">
        <v>0</v>
      </c>
      <c r="J393" s="4">
        <v>0</v>
      </c>
      <c r="K393" s="4">
        <v>1</v>
      </c>
      <c r="L393" s="4">
        <v>1</v>
      </c>
      <c r="M393" s="4">
        <f t="shared" si="12"/>
        <v>90</v>
      </c>
      <c r="N393" t="str">
        <f t="shared" si="13"/>
        <v>Medio</v>
      </c>
    </row>
    <row r="394" spans="1:14" x14ac:dyDescent="0.3">
      <c r="A394" s="4">
        <v>43</v>
      </c>
      <c r="B394" s="4">
        <v>26.62</v>
      </c>
      <c r="C394" s="4">
        <v>189</v>
      </c>
      <c r="D394" s="4">
        <v>137</v>
      </c>
      <c r="E394" s="4">
        <v>1</v>
      </c>
      <c r="F394" s="4">
        <v>0</v>
      </c>
      <c r="G394" s="4">
        <v>0</v>
      </c>
      <c r="H394" s="4">
        <v>1</v>
      </c>
      <c r="I394" s="4">
        <v>0</v>
      </c>
      <c r="J394" s="4">
        <v>0</v>
      </c>
      <c r="K394" s="4">
        <v>0</v>
      </c>
      <c r="L394" s="4">
        <v>0</v>
      </c>
      <c r="M394" s="4">
        <f t="shared" si="12"/>
        <v>154.33000000000001</v>
      </c>
      <c r="N394" t="str">
        <f t="shared" si="13"/>
        <v>Hospitalización urgente</v>
      </c>
    </row>
    <row r="395" spans="1:14" x14ac:dyDescent="0.3">
      <c r="A395" s="4">
        <v>18</v>
      </c>
      <c r="B395" s="4">
        <v>23.13</v>
      </c>
      <c r="C395" s="4">
        <v>106</v>
      </c>
      <c r="D395" s="4">
        <v>59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f t="shared" si="12"/>
        <v>74.67</v>
      </c>
      <c r="N395" t="str">
        <f t="shared" si="13"/>
        <v>Ninguno</v>
      </c>
    </row>
    <row r="396" spans="1:14" x14ac:dyDescent="0.3">
      <c r="A396" s="4">
        <v>39</v>
      </c>
      <c r="B396" s="4">
        <v>33.11</v>
      </c>
      <c r="C396" s="4">
        <v>151</v>
      </c>
      <c r="D396" s="4">
        <v>62</v>
      </c>
      <c r="E396" s="4">
        <v>0</v>
      </c>
      <c r="F396" s="4">
        <v>0</v>
      </c>
      <c r="G396" s="4">
        <v>1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f t="shared" si="12"/>
        <v>91.67</v>
      </c>
      <c r="N396" t="str">
        <f t="shared" si="13"/>
        <v>Medio</v>
      </c>
    </row>
    <row r="397" spans="1:14" x14ac:dyDescent="0.3">
      <c r="A397" s="4">
        <v>35</v>
      </c>
      <c r="B397" s="4">
        <v>20.38</v>
      </c>
      <c r="C397" s="4">
        <v>114</v>
      </c>
      <c r="D397" s="4">
        <v>56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1</v>
      </c>
      <c r="M397" s="4">
        <f t="shared" si="12"/>
        <v>75.33</v>
      </c>
      <c r="N397" t="str">
        <f t="shared" si="13"/>
        <v>Medio</v>
      </c>
    </row>
    <row r="398" spans="1:14" x14ac:dyDescent="0.3">
      <c r="A398" s="4">
        <v>42</v>
      </c>
      <c r="B398" s="4">
        <v>32.840000000000003</v>
      </c>
      <c r="C398" s="4">
        <v>127</v>
      </c>
      <c r="D398" s="4">
        <v>108</v>
      </c>
      <c r="E398" s="4">
        <v>0</v>
      </c>
      <c r="F398" s="4">
        <v>0</v>
      </c>
      <c r="G398" s="4">
        <v>1</v>
      </c>
      <c r="H398" s="4">
        <v>1</v>
      </c>
      <c r="I398" s="4">
        <v>0</v>
      </c>
      <c r="J398" s="4">
        <v>0</v>
      </c>
      <c r="K398" s="4">
        <v>0</v>
      </c>
      <c r="L398" s="4">
        <v>1</v>
      </c>
      <c r="M398" s="4">
        <f t="shared" si="12"/>
        <v>114.33</v>
      </c>
      <c r="N398" t="str">
        <f t="shared" si="13"/>
        <v>Medio</v>
      </c>
    </row>
    <row r="399" spans="1:14" x14ac:dyDescent="0.3">
      <c r="A399" s="4">
        <v>33</v>
      </c>
      <c r="B399" s="4">
        <v>31.08</v>
      </c>
      <c r="C399" s="4">
        <v>146</v>
      </c>
      <c r="D399" s="4">
        <v>64</v>
      </c>
      <c r="E399" s="4">
        <v>1</v>
      </c>
      <c r="F399" s="4">
        <v>0</v>
      </c>
      <c r="G399" s="4">
        <v>1</v>
      </c>
      <c r="H399" s="4">
        <v>0</v>
      </c>
      <c r="I399" s="4">
        <v>1</v>
      </c>
      <c r="J399" s="4">
        <v>1</v>
      </c>
      <c r="K399" s="4">
        <v>0</v>
      </c>
      <c r="L399" s="4">
        <v>1</v>
      </c>
      <c r="M399" s="4">
        <f t="shared" si="12"/>
        <v>91.33</v>
      </c>
      <c r="N399" t="str">
        <f t="shared" si="13"/>
        <v>Alto</v>
      </c>
    </row>
    <row r="400" spans="1:14" x14ac:dyDescent="0.3">
      <c r="A400" s="4">
        <v>55</v>
      </c>
      <c r="B400" s="4">
        <v>37.31</v>
      </c>
      <c r="C400" s="4">
        <v>206</v>
      </c>
      <c r="D400" s="4">
        <v>137</v>
      </c>
      <c r="E400" s="4">
        <v>0</v>
      </c>
      <c r="F400" s="4">
        <v>0</v>
      </c>
      <c r="G400" s="4">
        <v>1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f t="shared" si="12"/>
        <v>160</v>
      </c>
      <c r="N400" t="str">
        <f t="shared" si="13"/>
        <v>Hospitalización urgente</v>
      </c>
    </row>
    <row r="401" spans="1:14" x14ac:dyDescent="0.3">
      <c r="A401" s="4">
        <v>42</v>
      </c>
      <c r="B401" s="4">
        <v>32.840000000000003</v>
      </c>
      <c r="C401" s="4">
        <v>103</v>
      </c>
      <c r="D401" s="4">
        <v>91</v>
      </c>
      <c r="E401" s="4">
        <v>0</v>
      </c>
      <c r="F401" s="4">
        <v>0</v>
      </c>
      <c r="G401" s="4">
        <v>1</v>
      </c>
      <c r="H401" s="4">
        <v>1</v>
      </c>
      <c r="I401" s="4">
        <v>0</v>
      </c>
      <c r="J401" s="4">
        <v>0</v>
      </c>
      <c r="K401" s="4">
        <v>0</v>
      </c>
      <c r="L401" s="4">
        <v>0</v>
      </c>
      <c r="M401" s="4">
        <f t="shared" si="12"/>
        <v>95</v>
      </c>
      <c r="N401" t="str">
        <f t="shared" si="13"/>
        <v>Medio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morales</dc:creator>
  <cp:lastModifiedBy>moral</cp:lastModifiedBy>
  <dcterms:created xsi:type="dcterms:W3CDTF">2026-04-16T02:21:47Z</dcterms:created>
  <dcterms:modified xsi:type="dcterms:W3CDTF">2026-04-16T02:35:38Z</dcterms:modified>
</cp:coreProperties>
</file>